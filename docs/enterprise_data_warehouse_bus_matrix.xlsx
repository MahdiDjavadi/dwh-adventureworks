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tables/table1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Mahdi\Documents\GitHub\dwh-adventureworks\docs\"/>
    </mc:Choice>
  </mc:AlternateContent>
  <xr:revisionPtr revIDLastSave="0" documentId="13_ncr:1_{550C8BF0-5248-433C-958B-133AACE69AE2}" xr6:coauthVersionLast="47" xr6:coauthVersionMax="47" xr10:uidLastSave="{00000000-0000-0000-0000-000000000000}"/>
  <bookViews>
    <workbookView xWindow="-120" yWindow="-120" windowWidth="20730" windowHeight="11040" activeTab="2" xr2:uid="{00000000-000D-0000-FFFF-FFFF00000000}"/>
  </bookViews>
  <sheets>
    <sheet name="Definitions" sheetId="2" r:id="rId1"/>
    <sheet name="BusMatrix" sheetId="3" r:id="rId2"/>
    <sheet name="ObjectDefinition" sheetId="6" r:id="rId3"/>
    <sheet name="TimeEstimation" sheetId="4" r:id="rId4"/>
    <sheet name="Notes" sheetId="7" r:id="rId5"/>
  </sheets>
  <definedNames>
    <definedName name="BooleanList">BooleanTbl[Boolean]</definedName>
    <definedName name="DimTypesList">DimTypesTbl[Dimension Types]</definedName>
    <definedName name="FactTypesList">FactTypesTbl[Fact Types]</definedName>
    <definedName name="ObjectTypeList">ObjectTypeTbl[Object Type]</definedName>
    <definedName name="SchemaList">SchemaTbl[Schema]</definedName>
    <definedName name="Slicer_DWH_Object_Name">#N/A</definedName>
    <definedName name="StoryPointList">StoryPointTbl[Story Point Values]</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 i="7" l="1"/>
  <c r="E4" i="7"/>
  <c r="E5" i="7"/>
  <c r="E6" i="7"/>
  <c r="E2" i="7"/>
  <c r="E8" i="7"/>
  <c r="E9" i="7"/>
  <c r="E10" i="7"/>
  <c r="E11" i="7"/>
  <c r="E12" i="7"/>
  <c r="B9" i="3"/>
  <c r="A9" i="3"/>
  <c r="K11" i="3"/>
  <c r="L11" i="3"/>
  <c r="J11" i="3"/>
  <c r="J2" i="3"/>
  <c r="A10" i="3"/>
  <c r="N2" i="3"/>
  <c r="AJ2" i="3"/>
  <c r="AI2" i="3"/>
  <c r="AH2" i="3"/>
  <c r="AG2" i="3"/>
  <c r="AF2" i="3"/>
  <c r="AE2" i="3"/>
  <c r="AD2" i="3"/>
  <c r="AC2" i="3"/>
  <c r="AB2" i="3"/>
  <c r="AA2" i="3"/>
  <c r="Z2" i="3"/>
  <c r="Y2" i="3"/>
  <c r="X2" i="3"/>
  <c r="W2" i="3"/>
  <c r="V2" i="3"/>
  <c r="U2" i="3"/>
  <c r="T2" i="3"/>
  <c r="S2" i="3"/>
  <c r="R2" i="3"/>
  <c r="Q2" i="3"/>
  <c r="P2" i="3"/>
  <c r="O2" i="3"/>
  <c r="M2" i="3"/>
  <c r="L2" i="3"/>
  <c r="K2" i="3"/>
  <c r="S7" i="4" l="1"/>
  <c r="T7" i="4" s="1"/>
  <c r="S6" i="4"/>
  <c r="T6" i="4" s="1"/>
  <c r="S4" i="4"/>
  <c r="T4" i="4" s="1"/>
  <c r="S5" i="4" l="1"/>
  <c r="T5" i="4" s="1"/>
  <c r="S3" i="4" l="1"/>
  <c r="T3" i="4" s="1"/>
</calcChain>
</file>

<file path=xl/sharedStrings.xml><?xml version="1.0" encoding="utf-8"?>
<sst xmlns="http://schemas.openxmlformats.org/spreadsheetml/2006/main" count="1379" uniqueCount="490">
  <si>
    <t>Story Point Values</t>
  </si>
  <si>
    <t>Estimated Work (Hour)</t>
  </si>
  <si>
    <t>Order</t>
  </si>
  <si>
    <t>Story Point Value / Effort</t>
  </si>
  <si>
    <t>Profiler</t>
  </si>
  <si>
    <t>*</t>
  </si>
  <si>
    <t>Related to #n of BP</t>
  </si>
  <si>
    <t>SSIS Package Name</t>
  </si>
  <si>
    <t>Package Name</t>
  </si>
  <si>
    <t>طراحی و ساخت Load</t>
  </si>
  <si>
    <t>طراحی و ساخت Tansform</t>
  </si>
  <si>
    <t>طراحی و ساخت Extract</t>
  </si>
  <si>
    <t>ETL Development</t>
  </si>
  <si>
    <t>تحلیل سیستم</t>
  </si>
  <si>
    <t>OLAP Development</t>
  </si>
  <si>
    <t>بروز رسانی DSV و ایجاد پکیج</t>
  </si>
  <si>
    <t>ترجمه پکیج</t>
  </si>
  <si>
    <t>ساخت درختواره ها، فولدرها و تنظیم Property ها</t>
  </si>
  <si>
    <t>Quality Test</t>
  </si>
  <si>
    <t>Code Review</t>
  </si>
  <si>
    <t>Data Quality</t>
  </si>
  <si>
    <t>Integration Test</t>
  </si>
  <si>
    <t>Fact Data Test</t>
  </si>
  <si>
    <t>Deployment Test</t>
  </si>
  <si>
    <t>Full Package Deployment</t>
  </si>
  <si>
    <t>Test Plan</t>
  </si>
  <si>
    <t>سناریو سازی</t>
  </si>
  <si>
    <t>تست سناریو</t>
  </si>
  <si>
    <t>Package Developer</t>
  </si>
  <si>
    <t>تحلیل کسب و کار و سیستمهای جاری
Baseline Analysis</t>
  </si>
  <si>
    <t>طراحی اشیا Warehouse
Target Analysis</t>
  </si>
  <si>
    <t>Main Package Test</t>
  </si>
  <si>
    <t>Feedback Phase</t>
  </si>
  <si>
    <t>مجموع زمان تولید پکیج</t>
  </si>
  <si>
    <t>مجموع زمان تولید پکیج با احتساب ریسک</t>
  </si>
  <si>
    <t>ذینفعان فرآیند</t>
  </si>
  <si>
    <t>Boolean</t>
  </si>
  <si>
    <t>دارد</t>
  </si>
  <si>
    <t>ندارد</t>
  </si>
  <si>
    <t>#</t>
  </si>
  <si>
    <t>Issue Id</t>
  </si>
  <si>
    <t>راهنمای پر کردن تقاطع Dimension با FACT</t>
  </si>
  <si>
    <t>اطلاعات Dimension با FACT یکپارچه نمیباشد</t>
  </si>
  <si>
    <t>اطلاعات Dimension با FACT یکپارچه است</t>
  </si>
  <si>
    <t>Business Process</t>
  </si>
  <si>
    <t>FACT Tables</t>
  </si>
  <si>
    <t>Granularity</t>
  </si>
  <si>
    <t>FACT Type</t>
  </si>
  <si>
    <t>Fact Types</t>
  </si>
  <si>
    <t>Conformed</t>
  </si>
  <si>
    <t>Transaction</t>
  </si>
  <si>
    <t>Periodic Snapshot</t>
  </si>
  <si>
    <t>Accumulating Snapshot</t>
  </si>
  <si>
    <t>Consolidated</t>
  </si>
  <si>
    <t xml:space="preserve"> Fact/Dimension هنوز تکمیل نشده است</t>
  </si>
  <si>
    <t xml:space="preserve"> Fact/Dimension ساخته شده است</t>
  </si>
  <si>
    <t>Dimension Type</t>
  </si>
  <si>
    <t>Dimension Types</t>
  </si>
  <si>
    <t>Static</t>
  </si>
  <si>
    <t>User Maintained</t>
  </si>
  <si>
    <t>Normal</t>
  </si>
  <si>
    <t>Definition</t>
  </si>
  <si>
    <t>is not extracted from the original data source, but are created within the context of the data warehouse</t>
  </si>
  <si>
    <t>master dimension tables be created. These dimensions have no formal system of record; rather they are custom descriptions, groupings, and hierarchies created by the business for reporting and analysis purposes.</t>
  </si>
  <si>
    <t>the same measurement appears in separate fact tables</t>
  </si>
  <si>
    <t>A row in a transaction fact table corresponds to a measurement event at a point in
space and time</t>
  </si>
  <si>
    <t>summarizes many measurement events occurring over a standard period, such as a day, a week, or a month. The grain is the period, not the individual transaction</t>
  </si>
  <si>
    <t>summarizes the measurement events occurring at predictable steps between the beginning and the end of a process</t>
  </si>
  <si>
    <t>Bridge tables represent groups. We create them so that a single fact can be associated with a group of values (such as multiple salespeople) rather than a single value. Bridge Table is very simmilar to Factless Fact table but it is many to many table between A Fact table and A Dimension Table. (http://blog.chrisadamson.com/2011/10/are-bridge-tables-really-fact-tables.html)</t>
  </si>
  <si>
    <t>is a set of dimensional entities coming together at a moment in time without any measure attribute. Factless Fact Table is very simmilar to Bridge dim table but it is many to many table between Two Dimension Tables and do not have any direct relationship to a Fact table. (http://blog.chrisadamson.com/2011/10/are-bridge-tables-really-fact-tables.html)</t>
  </si>
  <si>
    <t>Schema</t>
  </si>
  <si>
    <t>Object Type</t>
  </si>
  <si>
    <t>DWH Schema</t>
  </si>
  <si>
    <t>DWH Object Type</t>
  </si>
  <si>
    <t>DWH Object Name</t>
  </si>
  <si>
    <t>DWH Attrib. Name</t>
  </si>
  <si>
    <t>OLTP Server</t>
  </si>
  <si>
    <t>OLTP Schema</t>
  </si>
  <si>
    <t>OLTP Table</t>
  </si>
  <si>
    <t>OLTP Field</t>
  </si>
  <si>
    <t>DIM</t>
  </si>
  <si>
    <t>Note</t>
  </si>
  <si>
    <t>FACT</t>
  </si>
  <si>
    <t>DWH Attrib. Desc</t>
  </si>
  <si>
    <t>Related to #n of Dim</t>
  </si>
  <si>
    <t>Ref</t>
  </si>
  <si>
    <t>Junk/Garbage</t>
  </si>
  <si>
    <t>Shrunken/Mini</t>
  </si>
  <si>
    <t>Non</t>
  </si>
  <si>
    <t>Snowflake/Outrigger</t>
  </si>
  <si>
    <t>Dimensional Modeling (Page 270), Start Schema (Page 123), Kimball 3rd (51,55)</t>
  </si>
  <si>
    <t>Bridge/Multi-valued</t>
  </si>
  <si>
    <t>Factless Fact</t>
  </si>
  <si>
    <t>Factless Bridge Dim</t>
  </si>
  <si>
    <t>This is not a real fact tables, it's a Bridge/Multi-valued table between two dimensions, for example Bank account</t>
  </si>
  <si>
    <t>A dimension that has multiple alternate versions of itself that can be swapped at query time is called a hot swappable dimension or profile table. This type of Dimension is like Super type and Sub type scenarios</t>
  </si>
  <si>
    <t>Dimensional Modeling (Page 288), Kimball 3rd (63)</t>
  </si>
  <si>
    <t>It is often convenient to combine facts from multiple processes together into a single consolidated fact table if they can be expressed at the same grain (UNION ALL Multiple Transactional tables from various places into single generic Fact Table)</t>
  </si>
  <si>
    <t>Dimensional Modeling (Page 294), Kimball 3rd (66,67)</t>
  </si>
  <si>
    <t>Swappable/SuperTypeSubType</t>
  </si>
  <si>
    <t>In Dimension modeling, designers do occasionally perform additional normalization within dimensions, although they usually avoid doing so. In such cases, the schema is referred to as a snowflake. And The additional tables that result are sometimes called outriggers (Dimension Tables in level 2 and above)</t>
  </si>
  <si>
    <t>Star Schema (Page 11)</t>
  </si>
  <si>
    <t>Outriggers</t>
  </si>
  <si>
    <t>Natural Key</t>
  </si>
  <si>
    <t>Surrogte Key</t>
  </si>
  <si>
    <t>Grain</t>
  </si>
  <si>
    <t>Enterprise Data Warehouse</t>
  </si>
  <si>
    <t>The enterprise data warehouse is the hub of the corporate information factory. It is an integrated repository of atomic data. Integrated from the various operational systems, it contains a definitive and consistent representation of business activities in a single place. Atomic in nature, the data in this repository is captured at the lowest level of detail possible.</t>
  </si>
  <si>
    <t>Star Schema (Page 18)</t>
  </si>
  <si>
    <t>Corporate Information Factory (CIF)</t>
  </si>
  <si>
    <t>Star Schema (Page 19)</t>
  </si>
  <si>
    <t>Data Mart</t>
  </si>
  <si>
    <t>These are databases that support a departmental view of information. With a subject area focus, each data mart takes information from the enterprise data warehouse and readies it for analysis.</t>
  </si>
  <si>
    <t>Name of Inmon Methodology to model "Enterprise Data Warehouse" in relational normal form (3NF)</t>
  </si>
  <si>
    <t>Terms Dictionary</t>
  </si>
  <si>
    <t>Data warehouse will describe any solution that contains an analytic database, including stand-alone data marts. This term will not be meant to imply a central or integrated repository.</t>
  </si>
  <si>
    <t>Data Warehouse (DW)</t>
  </si>
  <si>
    <t>Fact Table</t>
  </si>
  <si>
    <t>Star Schema (Page 29)</t>
  </si>
  <si>
    <t>Star Schema (Page 27)</t>
  </si>
  <si>
    <t>Is a unique identifier column, created exclusively for the data warehouse (DW), this key is not a carryover from an operational system</t>
  </si>
  <si>
    <t>Star Schema (Page 12,30)</t>
  </si>
  <si>
    <t>Is a key columns that uniquely identify something in an operational system (OLTP). The natural keys are identifiers carried over from source systems. They may not uniquely identify a row in the data warehouse, but they do identify a corresponding entity in the source system.</t>
  </si>
  <si>
    <t>Star Schema (Page 11,30)</t>
  </si>
  <si>
    <t>Degenerate/Behavioral</t>
  </si>
  <si>
    <t>Start Schema (Page 43,96,35)</t>
  </si>
  <si>
    <t>when the low-cardinality attributes in the dimension have been removed to separate normalized tables and these normalized tables are then joined back into the original dimension table.
Snowflaking is appropriate only in cases where low-cardinality attributes in the dimension have been removed to separate normalized tables, and these normalized tables are then joined back into the original dimension table.When principles of normalization are applied to a dimension table, the result is called a snowflake.
Usage:
1-The dimension table consists of two or more sets of attributes which define information at different grains.
2-The sets of attributes of the same dimension table are being populated by different source systems (country for example)</t>
  </si>
  <si>
    <t>Dimensional Modeling (Page 278), Start Schema (Page 36,37,99,163), Kimball 3rd (50)</t>
  </si>
  <si>
    <t>Grouping Dimension Attributes Based on Affinity</t>
  </si>
  <si>
    <t>Start Schema (Page 36)</t>
  </si>
  <si>
    <t>is a single table with a combination of different and unrelated (No Affinity) attributes to avoid having a large number of foreign keys in the fact table.Like DIM_OrderInfo in Start Schema book page 36</t>
  </si>
  <si>
    <t>Dimensional Modeling (Page 282), Start Schema (Page 35,36), Kimball 3rd (49)</t>
  </si>
  <si>
    <t>Is a representation of a business process by capturing measurements that describe it</t>
  </si>
  <si>
    <t>Star Schema (Page 29,38)</t>
  </si>
  <si>
    <t>Dimension Table</t>
  </si>
  <si>
    <t>The dimensions provide contextual information, without which reports would be meaningless.</t>
  </si>
  <si>
    <t>Nonadditive measure (Fact)</t>
  </si>
  <si>
    <t>Additive measure (Fact)</t>
  </si>
  <si>
    <t>measures that can be safely aggregated to any level of detail within a query or report is additive, Like OrderQuantity, OrderCost, OrderDollars, MarginDollars but not MarginPercent or DiscountPercent</t>
  </si>
  <si>
    <t>Star Schema (Page 40)</t>
  </si>
  <si>
    <t>measures that can be safely aggregated by some functions, Like Average of MarginRate, Minimum of DiscountPercent, Average of DiscountPercent
In many cases converting semiadditive and nonadditive measures to Corresponding values can help us to have fully additive measure</t>
  </si>
  <si>
    <t>measures that can not be safely aggregated such a rates or percentges, Like MarginRate, DiscountPercent
In many cases converting semiadditive and nonadditive measures to Corresponding values can help us to have fully additive measure</t>
  </si>
  <si>
    <t>Semi-additive measure (Fact)</t>
  </si>
  <si>
    <t>Star Schema (Page 42)</t>
  </si>
  <si>
    <t>Each row in the fact table stores facts at a specific level of detail. This level of detail is known as the fact table’s grain. You should try to ties grain to a business term or an artifact of the business processes.</t>
  </si>
  <si>
    <t>Star Schema (Page 12,42)</t>
  </si>
  <si>
    <t>Sparsity</t>
  </si>
  <si>
    <t>Rows are recorded in fact tables to represent the occurrence of business activities. This means that fact tables do not contain a row for every possible combination of dimension values.</t>
  </si>
  <si>
    <t>Slowly Changing Dimensions (SCD)</t>
  </si>
  <si>
    <t>Identify how changes in source data will be represented in dimension tables.</t>
  </si>
  <si>
    <t>Star Schema (Page 44)</t>
  </si>
  <si>
    <t>SCD Type 1</t>
  </si>
  <si>
    <t>Star Schema (Page 46)</t>
  </si>
  <si>
    <t>Overwriting The Dimension Value</t>
  </si>
  <si>
    <t>SCD Type 2</t>
  </si>
  <si>
    <t>Star Schema (Page 48)</t>
  </si>
  <si>
    <t>Preserves the history of facts in row based manner for every changes (Insert new record in dimension table for every new changes), it also knows as Versioning.</t>
  </si>
  <si>
    <t>Drill across</t>
  </si>
  <si>
    <t>Star Schema (Page 61)</t>
  </si>
  <si>
    <t>Analyzing across multiple process (Facts)</t>
  </si>
  <si>
    <t>Semantic Layer</t>
  </si>
  <si>
    <t>The concept of a business view that is mapped to physical structures</t>
  </si>
  <si>
    <t>Star Schema (Page 79)</t>
  </si>
  <si>
    <t>Conformed Dimension</t>
  </si>
  <si>
    <t>Star Schema (Page 86,93)</t>
  </si>
  <si>
    <t>When a series of stars share a set of common dimensions, the dimensions are referred to as conformed dimensions.
Types are:
1-Shared Dimension
2-Rollups
3-Degenerate Dimension
4-Overlapping Dimension</t>
  </si>
  <si>
    <t>SuperType-SubType</t>
  </si>
  <si>
    <t>Star Schema (Chapter 13, Page 94)</t>
  </si>
  <si>
    <t>Conformed Rollup</t>
  </si>
  <si>
    <t>Base Dimension</t>
  </si>
  <si>
    <t>Star Schema (Page 95)</t>
  </si>
  <si>
    <t>In Conformed Dimension, When we have SuperType and SubType scenarios The SubType dimension called "Confirmed Rollup"</t>
  </si>
  <si>
    <t>In Conformed Dimension, When we have SuperType and SubType scenarios The SuperType dimension called "Base Dimension"</t>
  </si>
  <si>
    <t>is when the dimension attribute is stored as part of fact table. Additionaly a dimension that is computed based on facts is called a behavioral dimension.This technique is commonly reserved for transaction identifiers or document identifiers.</t>
  </si>
  <si>
    <t>Vault Terms Dictionary</t>
  </si>
  <si>
    <t>Hub</t>
  </si>
  <si>
    <t>Link</t>
  </si>
  <si>
    <t>Sattelites</t>
  </si>
  <si>
    <t>https://youtu.be/l5UcUEt1IzM</t>
  </si>
  <si>
    <t>PK=Hash of Natural Key(s)
UNQ=Natural Key(s)
Extra=Record Source + Effective Dates
The purpose of a hub entity is to store the business keys of business objects along with some other information (as described above), which is called the metadata.</t>
  </si>
  <si>
    <t>PK=HUB PK
Extra=Natural Key(s) + Dimensional Attributes + Effective Dates
They store the attributes that belong to either a business key (in a hub), relationship or a transaction (in a link). The satellite also stores the history of the attribute data. Every attribute change is logged to the satellite.</t>
  </si>
  <si>
    <t>PK=Hash of Both Side Natural Key(s)
UNQ=Both Side Natural Key(s) as Separate Columns
Extra=Record Source + Effective Dates
No business object is entirely separate from other business objects. Instead, they are connected to each other through the operational business processes that use business objects in the execution of their tasks. The Data Vault models these relationships with links that connect two or more hubs. Typical business processes are purchasing, manufacturing, advertising, marketing, and sales.Because these processes often (but not always) represent transactions, a link often represents a transaction as well. Therefore, it often provides the basis for creating the facts of the dimensional model.
A link connects business keys; therefore links are modeled between hubs</t>
  </si>
  <si>
    <t>Link Types</t>
  </si>
  <si>
    <t>Link-on-link</t>
  </si>
  <si>
    <t>Data Vault 2.0 (Page 149)</t>
  </si>
  <si>
    <t>To avoid linking multiple links to each other directly</t>
  </si>
  <si>
    <t>Same-as</t>
  </si>
  <si>
    <t>Used for mapping multiple hubs with same definition to each other, like mapping customer from one OLTP to customers from another OLTP</t>
  </si>
  <si>
    <t>Data Vault 2.0 (Page 151)</t>
  </si>
  <si>
    <t>Hierarchical</t>
  </si>
  <si>
    <t>Used for simulating scenarios like BOM</t>
  </si>
  <si>
    <t>Data Vault 2.0 (Page 152)</t>
  </si>
  <si>
    <t>Nonhistorized</t>
  </si>
  <si>
    <t>Data Vault 2.0 (Page 154)</t>
  </si>
  <si>
    <t>Used for modeling insert only OLTP transaction without any modification/scd allowed mechanisem in nature</t>
  </si>
  <si>
    <t>Nondescriptive</t>
  </si>
  <si>
    <t>Data Vault 2.0 (Page 158)</t>
  </si>
  <si>
    <t>Used for linking only hubs to each other without any descriptive sattelite, like factless fact</t>
  </si>
  <si>
    <t>Computed Aggregate</t>
  </si>
  <si>
    <t>Exploration</t>
  </si>
  <si>
    <t>Data Vault 2.0 (Page 161)</t>
  </si>
  <si>
    <t>Data Vault 2.0 (Page 159)</t>
  </si>
  <si>
    <t>Kind of Business Vault link, this type of link aggregate data from Raw Data Vault link to higher level aggregated link named Compute Aggregate, it is conceptually like datamart facts that based on DWH data not OLTP data</t>
  </si>
  <si>
    <t>Kind of Business Vault link, Used to generating non aggregated link from actual existed raw data vault link</t>
  </si>
  <si>
    <t>Hub Types</t>
  </si>
  <si>
    <t>Definitions</t>
  </si>
  <si>
    <t>Regular</t>
  </si>
  <si>
    <t>Sattelite Types</t>
  </si>
  <si>
    <t>Overloaded</t>
  </si>
  <si>
    <t>Data Vault 2.0 (Page 162)</t>
  </si>
  <si>
    <t>Multi-Active</t>
  </si>
  <si>
    <t>Data Vault 2.0 (Page 163)</t>
  </si>
  <si>
    <t>Status Tracking</t>
  </si>
  <si>
    <t>Use for one to many relationship between same hub sattelites like CustomerSat and CustomerPhonesSat</t>
  </si>
  <si>
    <t>Data Vault 2.0 (Page 165)</t>
  </si>
  <si>
    <t>Use when you combine data from multiple sources into one satellite</t>
  </si>
  <si>
    <t>Use for tracking record changes history like inserting,updating and deleting of a record (Note that the descriptive data (e.g., the business key) is not stored in the status tracking satellite. Only the status and the timestamp of the status change are tracked)</t>
  </si>
  <si>
    <t>Effectivity</t>
  </si>
  <si>
    <t>Data Vault 2.0 (Page 167)</t>
  </si>
  <si>
    <t>Use for capturing the membershipment of two businnes object, like membershiping scenario of a customer on platinium subscription</t>
  </si>
  <si>
    <t>Record Tracking</t>
  </si>
  <si>
    <t>Data Vault 2.0 (Page 168)</t>
  </si>
  <si>
    <t>Track witch source feeding witch keys</t>
  </si>
  <si>
    <t>Data Vault 2.0 (Page 172)</t>
  </si>
  <si>
    <t>Computed</t>
  </si>
  <si>
    <t>Kinf of Business Vault object for storing computed values from Raw Data Vault</t>
  </si>
  <si>
    <t>is a subset of another dimension - like Subtyped DIM_Employee witch is a subset of / Shrunkened version of DIM_Person (in most cases with different rollup level).
A mini-dimension is a dimension that usually contains fast changing attributes of a larger dimension table. A dimension is considered to be a fast changing dimension if one or more of its attributes changes frequently and in many rows. An appropriate approach for handling very fast changing dimensions is to break off the fast changing attributes into one or more separate dimensions, called mini-dimensions. The fact table would then have two foreign keys—one for the primary dimension table and another for the fast changing attributes.</t>
  </si>
  <si>
    <t>Hash Diff</t>
  </si>
  <si>
    <t>In Data Vault objects that store historical data (SCD2), HDIF represents the next versions of a record. HDIF is calculated by computing a hash value on all the meaningful columns in the table.</t>
  </si>
  <si>
    <t>https://bitpeak.pl/dv-2/</t>
  </si>
  <si>
    <t>the same dimension shared with multiple fact tables</t>
  </si>
  <si>
    <t>Hold values constructed selectively from several other Satellites from disparate sources and/or from derived values</t>
  </si>
  <si>
    <t>The Elephent in the fridge (Page 220)</t>
  </si>
  <si>
    <t>audit</t>
  </si>
  <si>
    <t>fact</t>
  </si>
  <si>
    <t>dimension</t>
  </si>
  <si>
    <t>dim_date</t>
  </si>
  <si>
    <t>dim_product</t>
  </si>
  <si>
    <t>sales</t>
  </si>
  <si>
    <t xml:space="preserve">Each row </t>
  </si>
  <si>
    <t>dim_customer</t>
  </si>
  <si>
    <t>date_key</t>
  </si>
  <si>
    <t>gregorian_date</t>
  </si>
  <si>
    <t>jalali_date</t>
  </si>
  <si>
    <t>gregorian_year</t>
  </si>
  <si>
    <t>jalali_year</t>
  </si>
  <si>
    <t>jalali_date_key</t>
  </si>
  <si>
    <t>sequential_day_number</t>
  </si>
  <si>
    <t>gregorian_month_number</t>
  </si>
  <si>
    <t>gregorian_month_name</t>
  </si>
  <si>
    <t>gregorian_quarter_number</t>
  </si>
  <si>
    <t>gregorian_quarter_name</t>
  </si>
  <si>
    <t>gregorian_year_month</t>
  </si>
  <si>
    <t>gregorian_year_month_number</t>
  </si>
  <si>
    <t>gregorian_year_quarter</t>
  </si>
  <si>
    <t>gregorian_year_quarter_number</t>
  </si>
  <si>
    <t>jalali_year_name</t>
  </si>
  <si>
    <t>jalali_month_number</t>
  </si>
  <si>
    <t>jalali_month_name</t>
  </si>
  <si>
    <t>jalali_year_month</t>
  </si>
  <si>
    <t>jalali_year_month_number</t>
  </si>
  <si>
    <t>jalali_quarter_number</t>
  </si>
  <si>
    <t>jalali_quarter_name</t>
  </si>
  <si>
    <t>jalali_year_quarter</t>
  </si>
  <si>
    <t>jalali_year_quarter_number</t>
  </si>
  <si>
    <t>jalali_half_year_number</t>
  </si>
  <si>
    <t>jalali_half_year_name</t>
  </si>
  <si>
    <t>month_of_quarter_number</t>
  </si>
  <si>
    <t>day_of_week_number</t>
  </si>
  <si>
    <t>day_of_week_name</t>
  </si>
  <si>
    <t>day_of_month_number</t>
  </si>
  <si>
    <t>day_of_quarter_number</t>
  </si>
  <si>
    <t>day_of_year_number</t>
  </si>
  <si>
    <t>week_of_year_number</t>
  </si>
  <si>
    <t>week_of_month_number</t>
  </si>
  <si>
    <t>week_of_quarter_number</t>
  </si>
  <si>
    <t>jalali_year_week</t>
  </si>
  <si>
    <t>jalali_year_week_number</t>
  </si>
  <si>
    <t>week_start_date</t>
  </si>
  <si>
    <t>week_end_date</t>
  </si>
  <si>
    <t>month_start_date</t>
  </si>
  <si>
    <t>month_end_date</t>
  </si>
  <si>
    <t>quarter_start_date</t>
  </si>
  <si>
    <t>quarter_end_date</t>
  </si>
  <si>
    <t>year_start_date</t>
  </si>
  <si>
    <t>year_end_date</t>
  </si>
  <si>
    <t>is_working_day</t>
  </si>
  <si>
    <t>is_date_with_data</t>
  </si>
  <si>
    <t>product_key</t>
  </si>
  <si>
    <t>Surrogate key generated by the data warehouse.</t>
  </si>
  <si>
    <t>product_code_bk</t>
  </si>
  <si>
    <t>Product business identifier from the source system.</t>
  </si>
  <si>
    <t>product</t>
  </si>
  <si>
    <t>Product name used for reporting.</t>
  </si>
  <si>
    <t>category_key</t>
  </si>
  <si>
    <t>Category business key from the source system.</t>
  </si>
  <si>
    <t>category</t>
  </si>
  <si>
    <t>Product category name.</t>
  </si>
  <si>
    <t>subcategory_key</t>
  </si>
  <si>
    <t>Subcategory business key from the source system.</t>
  </si>
  <si>
    <t>subcategory</t>
  </si>
  <si>
    <t>Product subcategory name.</t>
  </si>
  <si>
    <t>model_key</t>
  </si>
  <si>
    <t>Product model business key from the source system.</t>
  </si>
  <si>
    <t>model</t>
  </si>
  <si>
    <t>Product model name.</t>
  </si>
  <si>
    <t>class</t>
  </si>
  <si>
    <t>Product class e.g., high, medium, low.</t>
  </si>
  <si>
    <t>color</t>
  </si>
  <si>
    <t>Product color.</t>
  </si>
  <si>
    <t>style</t>
  </si>
  <si>
    <t>Product style e.g., men's, women's, universal.</t>
  </si>
  <si>
    <t>size</t>
  </si>
  <si>
    <t>Product size.</t>
  </si>
  <si>
    <t>size_unit</t>
  </si>
  <si>
    <t>Unit of measurement for product size.</t>
  </si>
  <si>
    <t>weight</t>
  </si>
  <si>
    <t>Product weight.</t>
  </si>
  <si>
    <t>weight_unit</t>
  </si>
  <si>
    <t>Unit of measurement for product weight.</t>
  </si>
  <si>
    <t>product_line</t>
  </si>
  <si>
    <t>Product line e.g., Road, Mountain, Touring, Standard.</t>
  </si>
  <si>
    <t>sell_start_date</t>
  </si>
  <si>
    <t>Date when the product became available for sale.</t>
  </si>
  <si>
    <t>sell_end_date</t>
  </si>
  <si>
    <t>Date when the product was no longer available for sale.</t>
  </si>
  <si>
    <t>discontinued_date</t>
  </si>
  <si>
    <t>Date when the product was officially discontinued.</t>
  </si>
  <si>
    <t>sys_insert_date</t>
  </si>
  <si>
    <t>System metadata: date and time when the record was inserted.</t>
  </si>
  <si>
    <t>sys_update_date</t>
  </si>
  <si>
    <t>System metadata: date and time when the record was last updated.</t>
  </si>
  <si>
    <t>sys_delete_date</t>
  </si>
  <si>
    <t>System metadata: date and time when the record was deleted or marked for deletion.</t>
  </si>
  <si>
    <t>sys_hash_value</t>
  </si>
  <si>
    <t>System metadata: hash value used to detect changes in source attributes.</t>
  </si>
  <si>
    <t>sys_data_source</t>
  </si>
  <si>
    <t>System metadata: name of the source system.</t>
  </si>
  <si>
    <t>sys_source_record_id</t>
  </si>
  <si>
    <t>System metadata: identifier of the source system or source record.</t>
  </si>
  <si>
    <t>Surrogate key uniquely identifying the date.</t>
  </si>
  <si>
    <t>Calendar date in the Gregorian calendar.</t>
  </si>
  <si>
    <t>Numeric key representing the date in the Jalali calendar.</t>
  </si>
  <si>
    <t>Sequential number of the date within the calendar date range.</t>
  </si>
  <si>
    <t>Gregorian calendar year.</t>
  </si>
  <si>
    <t>Month number within the Gregorian year, from 1 to 12.</t>
  </si>
  <si>
    <t>Name of the Gregorian calendar month.</t>
  </si>
  <si>
    <t>Quarter number within the Gregorian year, from 1 to 4.</t>
  </si>
  <si>
    <t>Name of the Gregorian calendar quarter.</t>
  </si>
  <si>
    <t>Combined Gregorian year and month representation.</t>
  </si>
  <si>
    <t>Sequential numeric representation of the Gregorian year and month.</t>
  </si>
  <si>
    <t>Combined Gregorian year and quarter representation.</t>
  </si>
  <si>
    <t>Sequential numeric representation of the Gregorian year and quarter.</t>
  </si>
  <si>
    <t>Calendar date in the Jalali calendar.</t>
  </si>
  <si>
    <t>Jalali calendar year.</t>
  </si>
  <si>
    <t>Display name of the Jalali calendar year.</t>
  </si>
  <si>
    <t>Month number within the Jalali year, from 1 to 12.</t>
  </si>
  <si>
    <t>Name of the Jalali calendar month.</t>
  </si>
  <si>
    <t>Combined Jalali year and month representation.</t>
  </si>
  <si>
    <t>Sequential numeric representation of the Jalali year and month.</t>
  </si>
  <si>
    <t>Quarter number within the Jalali year, from 1 to 4.</t>
  </si>
  <si>
    <t>Name of the Jalali calendar quarter.</t>
  </si>
  <si>
    <t>Combined Jalali year and quarter representation.</t>
  </si>
  <si>
    <t>Sequential numeric representation of the Jalali year and quarter.</t>
  </si>
  <si>
    <t>Half-year number within the Jalali year, either 1 or 2.</t>
  </si>
  <si>
    <t>Name of the Jalali half-year period.</t>
  </si>
  <si>
    <t>Month position within the quarter, from 1 to 3.</t>
  </si>
  <si>
    <t>Numeric position of the day within the week.</t>
  </si>
  <si>
    <t>Name of the day of the week.</t>
  </si>
  <si>
    <t>Day number within the month.</t>
  </si>
  <si>
    <t>Day number within the quarter.</t>
  </si>
  <si>
    <t>Day number within the year.</t>
  </si>
  <si>
    <t>Week number within the year.</t>
  </si>
  <si>
    <t>Week number within the month.</t>
  </si>
  <si>
    <t>Week number within the quarter.</t>
  </si>
  <si>
    <t>Combined Jalali year and week representation.</t>
  </si>
  <si>
    <t>Sequential numeric representation of the Jalali year and week.</t>
  </si>
  <si>
    <t>Start date of the week containing the date.</t>
  </si>
  <si>
    <t>End date of the week containing the date.</t>
  </si>
  <si>
    <t>First date of the month containing the date.</t>
  </si>
  <si>
    <t>Last date of the month containing the date.</t>
  </si>
  <si>
    <t>First date of the quarter containing the date.</t>
  </si>
  <si>
    <t>Last date of the quarter containing the date.</t>
  </si>
  <si>
    <t>First date of the year containing the date.</t>
  </si>
  <si>
    <t>Last date of the year containing the date.</t>
  </si>
  <si>
    <t>Indicates whether the date is a working day.</t>
  </si>
  <si>
    <t>Indicates whether data exists for the date in the associated business process.</t>
  </si>
  <si>
    <t>fact_sales - دیتای فروش</t>
  </si>
  <si>
    <t>dim_territory</t>
  </si>
  <si>
    <t>customer_key</t>
  </si>
  <si>
    <t>Surrogate key.</t>
  </si>
  <si>
    <t>account_number_bk</t>
  </si>
  <si>
    <t>Unique number identifying the customer assigned by the accounting system.</t>
  </si>
  <si>
    <t>AdventureWorks2025</t>
  </si>
  <si>
    <t>Sales</t>
  </si>
  <si>
    <t>Customer</t>
  </si>
  <si>
    <t>AccountNumber</t>
  </si>
  <si>
    <t>This Key Generated By DWH</t>
  </si>
  <si>
    <t>person_id</t>
  </si>
  <si>
    <t>store_id</t>
  </si>
  <si>
    <t>territory_id</t>
  </si>
  <si>
    <t>Person</t>
  </si>
  <si>
    <t>Store</t>
  </si>
  <si>
    <t>SalesTerritory</t>
  </si>
  <si>
    <t>CustomerID</t>
  </si>
  <si>
    <t>PersonID</t>
  </si>
  <si>
    <t>StoreID</t>
  </si>
  <si>
    <t>TerritoryID</t>
  </si>
  <si>
    <t>PersonType</t>
  </si>
  <si>
    <t>Title</t>
  </si>
  <si>
    <t>FirstName</t>
  </si>
  <si>
    <t>LastName</t>
  </si>
  <si>
    <t>EmailPromotion</t>
  </si>
  <si>
    <t>Primary type of person: SC = Store Contact, IN = Individual (retail) customer, SP = Sales person, EM = Employee (non-sales), VC = Vendor contact, GC = General contact</t>
  </si>
  <si>
    <t>A courtesy title. For example, Mr. or Ms.</t>
  </si>
  <si>
    <t>First name of the person.</t>
  </si>
  <si>
    <t>Last name of the person.</t>
  </si>
  <si>
    <t xml:space="preserve">0 = Contact does not wish to receive e-mail promotions, 1 = Contact does wish to receive e-mail promotions from AdventureWorks, 2 = Contact does wish to receive e-mail promotions from AdventureWorks and selected partners. </t>
  </si>
  <si>
    <t>person_type</t>
  </si>
  <si>
    <t>person_title</t>
  </si>
  <si>
    <t>first_name</t>
  </si>
  <si>
    <t>Last_name</t>
  </si>
  <si>
    <t>email_promotion</t>
  </si>
  <si>
    <t>source FK/reference</t>
  </si>
  <si>
    <t>source PK / lineage</t>
  </si>
  <si>
    <t>Foreign key to Person.BusinessEntityID</t>
  </si>
  <si>
    <t>Foreign key to Store.BusinessEntityID</t>
  </si>
  <si>
    <t>ID of the territory in which the customer is located. Foreign key to SalesTerritory.SalesTerritoryID.</t>
  </si>
  <si>
    <t>store</t>
  </si>
  <si>
    <t>Name of the store.</t>
  </si>
  <si>
    <t>Name</t>
  </si>
  <si>
    <t>CountryRegionCode</t>
  </si>
  <si>
    <t>Group</t>
  </si>
  <si>
    <t>Sales territory description</t>
  </si>
  <si>
    <t xml:space="preserve">ISO standard country or region code. Foreign key to CountryRegion.CountryRegionCode. </t>
  </si>
  <si>
    <t>Geographic area to which the sales territory belong.</t>
  </si>
  <si>
    <t>territory_name</t>
  </si>
  <si>
    <t>country_region_code</t>
  </si>
  <si>
    <t>territory_group</t>
  </si>
  <si>
    <t>-</t>
  </si>
  <si>
    <t>Source Business Key</t>
  </si>
  <si>
    <t>is_current</t>
  </si>
  <si>
    <t>System metadata: identify valid period bundarires</t>
  </si>
  <si>
    <t>territory_key</t>
  </si>
  <si>
    <t>Data warehouse Primary Key.</t>
  </si>
  <si>
    <t>Primary key for SalesTerritory records.</t>
  </si>
  <si>
    <t>SalesYTD</t>
  </si>
  <si>
    <t>Sales in the territory year to date.</t>
  </si>
  <si>
    <t>SalesLastYear</t>
  </si>
  <si>
    <t>Sales in the territory the previous year.</t>
  </si>
  <si>
    <t>CostYTD</t>
  </si>
  <si>
    <t>Business costs in the territory year to date.</t>
  </si>
  <si>
    <t>CostLastYear</t>
  </si>
  <si>
    <t>Business costs in the territory the previous year.</t>
  </si>
  <si>
    <t>rowguid</t>
  </si>
  <si>
    <t>ROWGUIDCOL number uniquely identifying the record. Used to support a merge replication sample.</t>
  </si>
  <si>
    <t>ModifiedDate</t>
  </si>
  <si>
    <t>Date and time the record was last updated.</t>
  </si>
  <si>
    <t>-- System metadata attributes.</t>
  </si>
  <si>
    <t xml:space="preserve">    [sys_source_record_id] </t>
  </si>
  <si>
    <t>    [territory_name_bk]         NVARCHAR (20)       NOT NULL,   --</t>
  </si>
  <si>
    <t>    [territory_group]           NVARCHAR (20)       NOT NULL,</t>
  </si>
  <si>
    <t>    [country_region_code]       NVARCHAR (5)        NOT NULL,</t>
  </si>
  <si>
    <t>    [country_name]              NVARCHAR (30)       NOT NULL,</t>
  </si>
  <si>
    <t>    [sys_insert_date]         DATETIME2(3)        NOT NULL,   -- System metadata: date and time when the record was inserted.</t>
  </si>
  <si>
    <t>    [sys_update_date]         DATETIME2(3)            NULL,   -- System metadata: date and time when the record was last updated.</t>
  </si>
  <si>
    <t>    [sys_delete_date]         DATETIME2(3)            NULL,   -- System metadata: date and time when the record was deleted or marked for deletion.</t>
  </si>
  <si>
    <t>    [sys_hash_value]          CHAR(64)            NOT NULL,   -- System metadata: hash value used to detect changes in source attributes.</t>
  </si>
  <si>
    <t>    [sys_data_source]         NVARCHAR(25)        NOT NULL,   -- System metadata: name of the source system.</t>
  </si>
  <si>
    <t>=LEFT(A1,FIND(" ",A1)-1)</t>
  </si>
  <si>
    <t>=MID(A1,FIND("-- ",A1)+3,LEN(A1))</t>
  </si>
  <si>
    <t>[territory_key]             INT IDENTITY (1, 1) NOT NULL,   -- Surrogate key generated by the data warehouse.</t>
  </si>
  <si>
    <t>territory_name_bk</t>
  </si>
  <si>
    <t>country_name</t>
  </si>
  <si>
    <t>Country or region name.</t>
  </si>
  <si>
    <t>CountryRegion</t>
  </si>
  <si>
    <t>dime_store</t>
  </si>
  <si>
    <t>dim_store</t>
  </si>
  <si>
    <t>store_key</t>
  </si>
  <si>
    <t>store_name</t>
  </si>
  <si>
    <t>square_feet</t>
  </si>
  <si>
    <t>year_opened</t>
  </si>
  <si>
    <t>number_employee</t>
  </si>
  <si>
    <t>specialty</t>
  </si>
  <si>
    <t>brands</t>
  </si>
  <si>
    <t>Informationg about the store such as the square feet of store.</t>
  </si>
  <si>
    <t>Informationg about the store such as number of employees.</t>
  </si>
  <si>
    <t>Informationg about the store such as year oppend.</t>
  </si>
  <si>
    <t>Informationg about the store such as speciality.</t>
  </si>
  <si>
    <t>Number of brands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</si>
</sst>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sz val="11"/>
      <color theme="1"/>
      <name val="Segoe UI"/>
      <family val="2"/>
    </font>
    <font>
      <b/>
      <sz val="11"/>
      <color theme="1"/>
      <name val="Segoe UI"/>
      <family val="2"/>
    </font>
    <font>
      <sz val="11"/>
      <name val="Segoe UI"/>
      <family val="2"/>
    </font>
    <font>
      <b/>
      <sz val="11"/>
      <color theme="0"/>
      <name val="Segoe UI"/>
      <family val="2"/>
    </font>
    <font>
      <sz val="11"/>
      <color theme="9" tint="-0.499984740745262"/>
      <name val="Segoe UI"/>
      <family val="2"/>
    </font>
    <font>
      <sz val="11"/>
      <color theme="1"/>
      <name val="Consolas"/>
      <family val="3"/>
    </font>
  </fonts>
  <fills count="8">
    <fill>
      <patternFill patternType="none"/>
    </fill>
    <fill>
      <patternFill patternType="gray125"/>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rgb="FFFFC00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style="medium">
        <color indexed="64"/>
      </left>
      <right/>
      <top/>
      <bottom/>
      <diagonal/>
    </border>
  </borders>
  <cellStyleXfs count="2">
    <xf numFmtId="0" fontId="0" fillId="0" borderId="0"/>
    <xf numFmtId="0" fontId="3" fillId="0" borderId="0" applyNumberFormat="0" applyFill="0" applyBorder="0" applyAlignment="0" applyProtection="0"/>
  </cellStyleXfs>
  <cellXfs count="110">
    <xf numFmtId="0" fontId="0" fillId="0" borderId="0" xfId="0"/>
    <xf numFmtId="0" fontId="0" fillId="0" borderId="10" xfId="0" applyBorder="1"/>
    <xf numFmtId="0" fontId="0" fillId="0" borderId="11" xfId="0" applyBorder="1"/>
    <xf numFmtId="0" fontId="0" fillId="0" borderId="17" xfId="0" applyBorder="1"/>
    <xf numFmtId="0" fontId="0" fillId="0" borderId="22" xfId="0" applyBorder="1"/>
    <xf numFmtId="0" fontId="0" fillId="0" borderId="1" xfId="0" applyBorder="1"/>
    <xf numFmtId="0" fontId="0" fillId="0" borderId="23" xfId="0" applyBorder="1"/>
    <xf numFmtId="0" fontId="1" fillId="0" borderId="10" xfId="0" applyFont="1" applyBorder="1"/>
    <xf numFmtId="0" fontId="1" fillId="0" borderId="11" xfId="0" applyFont="1" applyBorder="1"/>
    <xf numFmtId="0" fontId="0" fillId="0" borderId="27" xfId="0" applyBorder="1"/>
    <xf numFmtId="0" fontId="0" fillId="0" borderId="18" xfId="0" applyBorder="1"/>
    <xf numFmtId="0" fontId="1" fillId="0" borderId="12"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9" xfId="0" applyBorder="1"/>
    <xf numFmtId="0" fontId="0" fillId="0" borderId="16" xfId="0" applyBorder="1"/>
    <xf numFmtId="0" fontId="1" fillId="0" borderId="17" xfId="0" applyFont="1" applyBorder="1"/>
    <xf numFmtId="0" fontId="1" fillId="0" borderId="22" xfId="0" applyFont="1" applyBorder="1"/>
    <xf numFmtId="0" fontId="0" fillId="0" borderId="4" xfId="0" applyBorder="1"/>
    <xf numFmtId="0" fontId="0" fillId="0" borderId="5" xfId="0" applyBorder="1"/>
    <xf numFmtId="0" fontId="0" fillId="0" borderId="17" xfId="0" applyFill="1" applyBorder="1"/>
    <xf numFmtId="0" fontId="1" fillId="0" borderId="24" xfId="0" applyFont="1" applyBorder="1" applyAlignment="1">
      <alignment horizontal="center" vertical="center" wrapText="1"/>
    </xf>
    <xf numFmtId="0" fontId="1" fillId="0" borderId="28" xfId="0" applyFont="1" applyBorder="1" applyAlignment="1">
      <alignment horizontal="center" vertical="center" wrapText="1"/>
    </xf>
    <xf numFmtId="0" fontId="1" fillId="0" borderId="2" xfId="0" applyFont="1" applyBorder="1" applyAlignment="1">
      <alignment horizontal="center" vertical="center" wrapText="1"/>
    </xf>
    <xf numFmtId="0" fontId="1" fillId="0" borderId="29" xfId="0" applyFont="1" applyBorder="1" applyAlignment="1">
      <alignment horizontal="center" vertical="center" wrapText="1"/>
    </xf>
    <xf numFmtId="0" fontId="1" fillId="0" borderId="12" xfId="0" applyFont="1" applyFill="1" applyBorder="1" applyAlignment="1">
      <alignment horizontal="center" vertical="center" wrapText="1"/>
    </xf>
    <xf numFmtId="0" fontId="1" fillId="0" borderId="2" xfId="0" applyFont="1" applyFill="1" applyBorder="1" applyAlignment="1">
      <alignment horizontal="center" vertical="center" wrapText="1"/>
    </xf>
    <xf numFmtId="0" fontId="1" fillId="0" borderId="29" xfId="0" applyFont="1" applyFill="1" applyBorder="1" applyAlignment="1">
      <alignment horizontal="center" vertical="center" wrapText="1"/>
    </xf>
    <xf numFmtId="0" fontId="1" fillId="0" borderId="6" xfId="0" applyFont="1" applyFill="1" applyBorder="1" applyAlignment="1">
      <alignment horizontal="center" vertical="center" wrapText="1"/>
    </xf>
    <xf numFmtId="0" fontId="0" fillId="0" borderId="0" xfId="0" applyAlignment="1"/>
    <xf numFmtId="0" fontId="0" fillId="0" borderId="0" xfId="0" applyAlignment="1">
      <alignment wrapText="1"/>
    </xf>
    <xf numFmtId="0" fontId="3" fillId="0" borderId="0" xfId="1"/>
    <xf numFmtId="0" fontId="4" fillId="0" borderId="0" xfId="0" applyFont="1"/>
    <xf numFmtId="0" fontId="4" fillId="0" borderId="0" xfId="0" applyFont="1" applyBorder="1" applyAlignment="1">
      <alignment horizontal="left" vertical="center"/>
    </xf>
    <xf numFmtId="0" fontId="4" fillId="0" borderId="0" xfId="0" applyFont="1" applyAlignment="1">
      <alignment horizontal="right"/>
    </xf>
    <xf numFmtId="0" fontId="4" fillId="0" borderId="0" xfId="0" applyFont="1" applyBorder="1"/>
    <xf numFmtId="0" fontId="4" fillId="0" borderId="0" xfId="0" applyFont="1" applyBorder="1" applyAlignment="1">
      <alignment wrapText="1"/>
    </xf>
    <xf numFmtId="0" fontId="4" fillId="0" borderId="0" xfId="0" applyFont="1" applyBorder="1" applyAlignment="1">
      <alignment horizontal="center" vertical="center" wrapText="1"/>
    </xf>
    <xf numFmtId="0" fontId="4" fillId="0" borderId="0" xfId="0" applyFont="1" applyFill="1" applyBorder="1" applyAlignment="1">
      <alignment wrapText="1"/>
    </xf>
    <xf numFmtId="0" fontId="4" fillId="0" borderId="0" xfId="0" applyFont="1" applyBorder="1" applyAlignment="1">
      <alignment horizontal="left" vertical="top" wrapText="1"/>
    </xf>
    <xf numFmtId="0" fontId="4" fillId="0" borderId="0" xfId="0" applyFont="1" applyBorder="1" applyAlignment="1">
      <alignment horizontal="left" vertical="top"/>
    </xf>
    <xf numFmtId="0" fontId="4" fillId="0" borderId="0" xfId="0" applyFont="1" applyAlignment="1">
      <alignment horizontal="center" vertical="top" textRotation="180"/>
    </xf>
    <xf numFmtId="0" fontId="5" fillId="0" borderId="3" xfId="0" applyFont="1" applyBorder="1" applyAlignment="1">
      <alignment horizontal="center" vertical="top" textRotation="180"/>
    </xf>
    <xf numFmtId="0" fontId="5" fillId="0" borderId="3" xfId="0" applyFont="1" applyBorder="1" applyAlignment="1">
      <alignment horizontal="center" vertical="top"/>
    </xf>
    <xf numFmtId="0" fontId="5" fillId="0" borderId="3" xfId="0" applyFont="1" applyFill="1" applyBorder="1" applyAlignment="1">
      <alignment horizontal="center" vertical="top"/>
    </xf>
    <xf numFmtId="0" fontId="6" fillId="0" borderId="21" xfId="0" applyFont="1" applyFill="1" applyBorder="1" applyAlignment="1">
      <alignment horizontal="right" textRotation="90"/>
    </xf>
    <xf numFmtId="0" fontId="6" fillId="0" borderId="15" xfId="0" applyFont="1" applyFill="1" applyBorder="1" applyAlignment="1">
      <alignment horizontal="right" textRotation="90"/>
    </xf>
    <xf numFmtId="0" fontId="6" fillId="0" borderId="20" xfId="0" applyFont="1" applyFill="1" applyBorder="1" applyAlignment="1">
      <alignment horizontal="right" textRotation="90"/>
    </xf>
    <xf numFmtId="0" fontId="7" fillId="2" borderId="20" xfId="0" applyFont="1" applyFill="1" applyBorder="1" applyAlignment="1">
      <alignment horizontal="center" vertical="center"/>
    </xf>
    <xf numFmtId="0" fontId="4" fillId="0" borderId="0" xfId="0" applyFont="1" applyAlignment="1">
      <alignment horizontal="center"/>
    </xf>
    <xf numFmtId="0" fontId="6" fillId="0" borderId="4" xfId="0" applyFont="1" applyFill="1" applyBorder="1" applyAlignment="1">
      <alignment horizontal="left"/>
    </xf>
    <xf numFmtId="0" fontId="6" fillId="4" borderId="4" xfId="0" applyFont="1" applyFill="1" applyBorder="1" applyAlignment="1">
      <alignment horizontal="left"/>
    </xf>
    <xf numFmtId="0" fontId="6" fillId="0" borderId="19" xfId="0" applyFont="1" applyFill="1" applyBorder="1" applyAlignment="1">
      <alignment horizontal="left" vertical="center"/>
    </xf>
    <xf numFmtId="0" fontId="6" fillId="0" borderId="22" xfId="0" applyFont="1" applyFill="1" applyBorder="1" applyAlignment="1">
      <alignment horizontal="left" vertical="center" shrinkToFit="1"/>
    </xf>
    <xf numFmtId="0" fontId="6" fillId="0" borderId="19" xfId="0" applyFont="1" applyFill="1" applyBorder="1" applyAlignment="1">
      <alignment horizontal="center" vertical="center"/>
    </xf>
    <xf numFmtId="0" fontId="4" fillId="0" borderId="18" xfId="0" applyFont="1" applyFill="1" applyBorder="1" applyAlignment="1">
      <alignment horizontal="center" vertical="center"/>
    </xf>
    <xf numFmtId="0" fontId="4" fillId="0" borderId="19" xfId="0" applyFont="1" applyFill="1" applyBorder="1" applyAlignment="1">
      <alignment horizontal="center" vertical="center"/>
    </xf>
    <xf numFmtId="0" fontId="7" fillId="2" borderId="10" xfId="0" applyFont="1" applyFill="1" applyBorder="1"/>
    <xf numFmtId="0" fontId="4" fillId="0" borderId="27" xfId="0" applyFont="1" applyBorder="1"/>
    <xf numFmtId="0" fontId="6" fillId="0" borderId="5" xfId="0" applyFont="1" applyFill="1" applyBorder="1" applyAlignment="1">
      <alignment horizontal="left"/>
    </xf>
    <xf numFmtId="0" fontId="6" fillId="4" borderId="5" xfId="0" applyFont="1" applyFill="1" applyBorder="1" applyAlignment="1">
      <alignment horizontal="left"/>
    </xf>
    <xf numFmtId="0" fontId="4" fillId="0" borderId="1" xfId="0" applyFont="1" applyFill="1" applyBorder="1" applyAlignment="1">
      <alignment horizontal="center" vertical="center"/>
    </xf>
    <xf numFmtId="0" fontId="4" fillId="0" borderId="16" xfId="0" applyFont="1" applyFill="1" applyBorder="1" applyAlignment="1">
      <alignment horizontal="center" vertical="center"/>
    </xf>
    <xf numFmtId="0" fontId="4" fillId="0" borderId="23" xfId="0" applyFont="1" applyBorder="1"/>
    <xf numFmtId="0" fontId="4" fillId="2" borderId="39" xfId="0" applyFont="1" applyFill="1" applyBorder="1" applyAlignment="1">
      <alignment horizontal="center" vertical="center" textRotation="180"/>
    </xf>
    <xf numFmtId="0" fontId="4" fillId="2" borderId="0" xfId="0" applyFont="1" applyFill="1" applyBorder="1" applyAlignment="1">
      <alignment horizontal="center" vertical="center"/>
    </xf>
    <xf numFmtId="0" fontId="4" fillId="2" borderId="33" xfId="0" applyFont="1" applyFill="1" applyBorder="1" applyAlignment="1">
      <alignment horizontal="center" vertical="center"/>
    </xf>
    <xf numFmtId="0" fontId="7" fillId="2" borderId="38" xfId="0" applyFont="1" applyFill="1" applyBorder="1" applyAlignment="1">
      <alignment horizontal="center" vertical="center" textRotation="180"/>
    </xf>
    <xf numFmtId="0" fontId="4" fillId="0" borderId="8" xfId="0" applyFont="1" applyBorder="1" applyAlignment="1">
      <alignment horizontal="center" vertical="top" textRotation="180" wrapText="1"/>
    </xf>
    <xf numFmtId="0" fontId="8" fillId="0" borderId="8" xfId="0" applyFont="1" applyFill="1" applyBorder="1" applyAlignment="1">
      <alignment horizontal="center" vertical="top" textRotation="180" wrapText="1"/>
    </xf>
    <xf numFmtId="0" fontId="4" fillId="0" borderId="8" xfId="0" applyFont="1" applyFill="1" applyBorder="1" applyAlignment="1">
      <alignment horizontal="center" vertical="top" textRotation="180" wrapText="1"/>
    </xf>
    <xf numFmtId="0" fontId="8" fillId="0" borderId="8" xfId="0" applyFont="1" applyFill="1" applyBorder="1" applyAlignment="1">
      <alignment horizontal="center" vertical="top" textRotation="180"/>
    </xf>
    <xf numFmtId="0" fontId="4" fillId="0" borderId="0" xfId="0" applyFont="1" applyBorder="1" applyAlignment="1">
      <alignment horizontal="center" vertical="top" textRotation="180"/>
    </xf>
    <xf numFmtId="0" fontId="4" fillId="0" borderId="0" xfId="0" applyFont="1" applyFill="1" applyBorder="1"/>
    <xf numFmtId="0" fontId="5" fillId="0" borderId="0" xfId="0" applyFont="1" applyFill="1" applyBorder="1" applyAlignment="1">
      <alignment horizontal="center" vertical="center"/>
    </xf>
    <xf numFmtId="0" fontId="5" fillId="0" borderId="36" xfId="0" applyFont="1" applyFill="1" applyBorder="1" applyAlignment="1">
      <alignment horizontal="center" vertical="center"/>
    </xf>
    <xf numFmtId="0" fontId="5" fillId="0" borderId="37" xfId="0" applyFont="1" applyFill="1" applyBorder="1" applyAlignment="1">
      <alignment horizontal="center" vertical="center"/>
    </xf>
    <xf numFmtId="0" fontId="4" fillId="0" borderId="3" xfId="0" applyFont="1" applyFill="1" applyBorder="1"/>
    <xf numFmtId="0" fontId="4" fillId="3" borderId="37" xfId="0" applyFont="1" applyFill="1" applyBorder="1" applyAlignment="1">
      <alignment horizontal="center"/>
    </xf>
    <xf numFmtId="0" fontId="4" fillId="5" borderId="37" xfId="0" applyFont="1" applyFill="1" applyBorder="1" applyAlignment="1">
      <alignment horizontal="center"/>
    </xf>
    <xf numFmtId="0" fontId="4" fillId="0" borderId="0" xfId="0" applyFont="1" applyFill="1" applyBorder="1" applyAlignment="1">
      <alignment horizontal="right" vertical="center" readingOrder="2"/>
    </xf>
    <xf numFmtId="0" fontId="4" fillId="0" borderId="35" xfId="0" applyFont="1" applyFill="1" applyBorder="1" applyAlignment="1">
      <alignment horizontal="right" vertical="center" readingOrder="2"/>
    </xf>
    <xf numFmtId="0" fontId="4" fillId="4" borderId="34" xfId="0" applyFont="1" applyFill="1" applyBorder="1" applyAlignment="1">
      <alignment horizontal="center"/>
    </xf>
    <xf numFmtId="0" fontId="4" fillId="0" borderId="34" xfId="0" applyFont="1" applyFill="1" applyBorder="1" applyAlignment="1">
      <alignment horizontal="center"/>
    </xf>
    <xf numFmtId="0" fontId="0" fillId="0" borderId="0" xfId="0" applyFont="1"/>
    <xf numFmtId="0" fontId="9" fillId="0" borderId="0" xfId="0" applyFont="1" applyAlignment="1">
      <alignment horizontal="left" vertical="center"/>
    </xf>
    <xf numFmtId="0" fontId="0" fillId="0" borderId="0" xfId="0" applyFont="1" applyAlignment="1">
      <alignment horizontal="left"/>
    </xf>
    <xf numFmtId="0" fontId="4" fillId="0" borderId="38" xfId="0" applyFont="1" applyBorder="1" applyAlignment="1">
      <alignment horizontal="left" vertical="center"/>
    </xf>
    <xf numFmtId="14" fontId="0" fillId="0" borderId="0" xfId="0" applyNumberFormat="1" applyFont="1"/>
    <xf numFmtId="47" fontId="0" fillId="0" borderId="0" xfId="0" applyNumberFormat="1" applyFont="1"/>
    <xf numFmtId="0" fontId="6" fillId="4" borderId="15" xfId="0" applyFont="1" applyFill="1" applyBorder="1" applyAlignment="1">
      <alignment horizontal="right" textRotation="90"/>
    </xf>
    <xf numFmtId="0" fontId="7" fillId="2" borderId="7" xfId="0" applyFont="1" applyFill="1" applyBorder="1" applyAlignment="1">
      <alignment horizontal="center" vertical="top" textRotation="90"/>
    </xf>
    <xf numFmtId="0" fontId="1" fillId="6" borderId="0" xfId="0" applyFont="1" applyFill="1"/>
    <xf numFmtId="0" fontId="9" fillId="0" borderId="0" xfId="0" quotePrefix="1" applyFont="1" applyAlignment="1">
      <alignment horizontal="left" vertical="center"/>
    </xf>
    <xf numFmtId="0" fontId="0" fillId="0" borderId="0" xfId="0" applyFont="1" applyAlignment="1"/>
    <xf numFmtId="0" fontId="6" fillId="7" borderId="15" xfId="0" applyFont="1" applyFill="1" applyBorder="1" applyAlignment="1">
      <alignment horizontal="right" textRotation="90"/>
    </xf>
    <xf numFmtId="0" fontId="6" fillId="7" borderId="21" xfId="0" applyFont="1" applyFill="1" applyBorder="1" applyAlignment="1">
      <alignment horizontal="right" textRotation="90"/>
    </xf>
    <xf numFmtId="0" fontId="1" fillId="0" borderId="31" xfId="0" applyFont="1" applyBorder="1" applyAlignment="1">
      <alignment horizontal="center" vertical="center" wrapText="1"/>
    </xf>
    <xf numFmtId="0" fontId="0" fillId="0" borderId="32" xfId="0" applyBorder="1" applyAlignment="1">
      <alignment horizontal="center" vertical="center" wrapText="1"/>
    </xf>
    <xf numFmtId="0" fontId="1" fillId="0" borderId="9" xfId="0" applyFont="1" applyBorder="1" applyAlignment="1">
      <alignment horizontal="center" vertical="center" wrapText="1"/>
    </xf>
    <xf numFmtId="0" fontId="0" fillId="0" borderId="13" xfId="0" applyBorder="1" applyAlignment="1">
      <alignment horizontal="center" vertical="center" wrapText="1"/>
    </xf>
    <xf numFmtId="0" fontId="1" fillId="0" borderId="24" xfId="0" applyFont="1" applyBorder="1" applyAlignment="1">
      <alignment horizontal="center" vertical="center" wrapText="1"/>
    </xf>
    <xf numFmtId="0" fontId="1" fillId="0" borderId="26" xfId="0" applyFont="1"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0" fontId="1" fillId="0" borderId="7"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1" fillId="0" borderId="14" xfId="0" applyFont="1" applyBorder="1" applyAlignment="1">
      <alignment horizontal="center" vertical="center" wrapText="1"/>
    </xf>
    <xf numFmtId="0" fontId="0" fillId="0" borderId="30" xfId="0" applyBorder="1" applyAlignment="1">
      <alignment horizontal="center" vertical="center" wrapText="1"/>
    </xf>
    <xf numFmtId="0" fontId="1" fillId="0" borderId="6" xfId="0" applyFont="1" applyBorder="1" applyAlignment="1">
      <alignment horizontal="center" vertical="center" wrapText="1"/>
    </xf>
  </cellXfs>
  <cellStyles count="2">
    <cellStyle name="Hyperlink" xfId="1" builtinId="8"/>
    <cellStyle name="Normal" xfId="0" builtinId="0"/>
  </cellStyles>
  <dxfs count="25">
    <dxf>
      <font>
        <b/>
      </font>
      <fill>
        <patternFill patternType="solid">
          <fgColor indexed="64"/>
          <bgColor theme="7" tint="0.79998168889431442"/>
        </patternFill>
      </fill>
    </dxf>
    <dxf>
      <fill>
        <patternFill>
          <bgColor theme="0" tint="-4.9989318521683403E-2"/>
        </patternFill>
      </fill>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s>
  <tableStyles count="0" defaultTableStyle="TableStyleMedium2" defaultPivotStyle="PivotStyleLight16"/>
  <colors>
    <mruColors>
      <color rgb="FFFF5757"/>
      <color rgb="FFF5D67F"/>
      <color rgb="FFFFCC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10</xdr:col>
      <xdr:colOff>141886</xdr:colOff>
      <xdr:row>1</xdr:row>
      <xdr:rowOff>77932</xdr:rowOff>
    </xdr:from>
    <xdr:to>
      <xdr:col>12</xdr:col>
      <xdr:colOff>155863</xdr:colOff>
      <xdr:row>14</xdr:row>
      <xdr:rowOff>125557</xdr:rowOff>
    </xdr:to>
    <mc:AlternateContent xmlns:mc="http://schemas.openxmlformats.org/markup-compatibility/2006" xmlns:sle15="http://schemas.microsoft.com/office/drawing/2012/slicer">
      <mc:Choice Requires="sle15">
        <xdr:graphicFrame macro="">
          <xdr:nvGraphicFramePr>
            <xdr:cNvPr id="2" name="DWH Object Name">
              <a:extLst>
                <a:ext uri="{FF2B5EF4-FFF2-40B4-BE49-F238E27FC236}">
                  <a16:creationId xmlns:a16="http://schemas.microsoft.com/office/drawing/2014/main" id="{983DB5CF-EE15-4801-969F-B28776421A2B}"/>
                </a:ext>
              </a:extLst>
            </xdr:cNvPr>
            <xdr:cNvGraphicFramePr/>
          </xdr:nvGraphicFramePr>
          <xdr:xfrm>
            <a:off x="0" y="0"/>
            <a:ext cx="0" cy="0"/>
          </xdr:xfrm>
          <a:graphic>
            <a:graphicData uri="http://schemas.microsoft.com/office/drawing/2010/slicer">
              <sle:slicer xmlns:sle="http://schemas.microsoft.com/office/drawing/2010/slicer" name="DWH Object Name"/>
            </a:graphicData>
          </a:graphic>
        </xdr:graphicFrame>
      </mc:Choice>
      <mc:Fallback xmlns="">
        <xdr:sp macro="" textlink="">
          <xdr:nvSpPr>
            <xdr:cNvPr id="0" name=""/>
            <xdr:cNvSpPr>
              <a:spLocks noTextEdit="1"/>
            </xdr:cNvSpPr>
          </xdr:nvSpPr>
          <xdr:spPr>
            <a:xfrm>
              <a:off x="14533295" y="268432"/>
              <a:ext cx="122625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WH_Object_Name" xr10:uid="{1E788BE3-BD14-46F2-8428-8318969CBCD5}" sourceName="DWH Object Name">
  <extLst>
    <x:ext xmlns:x15="http://schemas.microsoft.com/office/spreadsheetml/2010/11/main" uri="{2F2917AC-EB37-4324-AD4E-5DD8C200BD13}">
      <x15:tableSlicerCache tableId="5"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WH Object Name" xr10:uid="{ED7433EC-042B-4138-9E8D-3C2948E25719}" cache="Slicer_DWH_Object_Name" caption="DWH Object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imTypesTbl" displayName="DimTypesTbl" ref="A40:C50" totalsRowShown="0" dataDxfId="24">
  <autoFilter ref="A40:C50" xr:uid="{00000000-0009-0000-0100-000001000000}"/>
  <tableColumns count="3">
    <tableColumn id="1" xr3:uid="{00000000-0010-0000-0100-000001000000}" name="Dimension Types" dataDxfId="23"/>
    <tableColumn id="2" xr3:uid="{00000000-0010-0000-0100-000002000000}" name="Definition" dataDxfId="22"/>
    <tableColumn id="3" xr3:uid="{00000000-0010-0000-0100-000003000000}" name="Ref" dataDxfId="21"/>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FactTypesTbl" displayName="FactTypesTbl" ref="A30:C37" totalsRowShown="0" dataDxfId="20">
  <autoFilter ref="A30:C37" xr:uid="{00000000-0009-0000-0100-000002000000}"/>
  <tableColumns count="3">
    <tableColumn id="1" xr3:uid="{00000000-0010-0000-0200-000001000000}" name="Fact Types" dataDxfId="19"/>
    <tableColumn id="2" xr3:uid="{00000000-0010-0000-0200-000002000000}" name="Definition" dataDxfId="18"/>
    <tableColumn id="3" xr3:uid="{00000000-0010-0000-0200-000003000000}" name="Ref" dataDxfId="17"/>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BooleanTbl" displayName="BooleanTbl" ref="A25:A27" totalsRowShown="0">
  <autoFilter ref="A25:A27" xr:uid="{00000000-0009-0000-0100-000003000000}"/>
  <tableColumns count="1">
    <tableColumn id="1" xr3:uid="{00000000-0010-0000-0300-000001000000}" name="Boolean"/>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StoryPointTbl" displayName="StoryPointTbl" ref="A1:A11" totalsRowShown="0">
  <autoFilter ref="A1:A11" xr:uid="{00000000-0009-0000-0100-000004000000}"/>
  <tableColumns count="1">
    <tableColumn id="1" xr3:uid="{00000000-0010-0000-0400-000001000000}" name="Story Point Values"/>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ectTypeTbl" displayName="ObjectTypeTbl" ref="A14:A16" totalsRowShown="0">
  <autoFilter ref="A14:A16" xr:uid="{00000000-0009-0000-0100-000006000000}"/>
  <tableColumns count="1">
    <tableColumn id="1" xr3:uid="{00000000-0010-0000-0500-000001000000}" name="Object Type"/>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chemaTbl" displayName="SchemaTbl" ref="A19:A22" totalsRowShown="0">
  <autoFilter ref="A19:A22" xr:uid="{00000000-0009-0000-0100-000007000000}"/>
  <tableColumns count="1">
    <tableColumn id="1" xr3:uid="{00000000-0010-0000-0600-000001000000}" name="Schema"/>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53:C76" totalsRowShown="0">
  <autoFilter ref="A53:C76" xr:uid="{00000000-0009-0000-0100-000008000000}"/>
  <tableColumns count="3">
    <tableColumn id="1" xr3:uid="{00000000-0010-0000-0700-000001000000}" name="Terms Dictionary"/>
    <tableColumn id="2" xr3:uid="{00000000-0010-0000-0700-000002000000}" name="Definition" dataDxfId="16"/>
    <tableColumn id="3" xr3:uid="{00000000-0010-0000-0700-000003000000}" name="Ref"/>
  </tableColumns>
  <tableStyleInfo name="TableStyleMedium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 displayName="Table9" ref="A78:C82" totalsRowShown="0">
  <autoFilter ref="A78:C82" xr:uid="{00000000-0009-0000-0100-000009000000}"/>
  <tableColumns count="3">
    <tableColumn id="1" xr3:uid="{00000000-0010-0000-0800-000001000000}" name="Vault Terms Dictionary"/>
    <tableColumn id="2" xr3:uid="{00000000-0010-0000-0800-000002000000}" name="Definition"/>
    <tableColumn id="3" xr3:uid="{00000000-0010-0000-0800-000003000000}" name="Ref"/>
  </tableColumns>
  <tableStyleInfo name="TableStyleMedium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 displayName="Table10" ref="A89:C97" totalsRowShown="0">
  <autoFilter ref="A89:C97" xr:uid="{00000000-0009-0000-0100-00000A000000}"/>
  <tableColumns count="3">
    <tableColumn id="1" xr3:uid="{00000000-0010-0000-0900-000001000000}" name="Link Types"/>
    <tableColumn id="2" xr3:uid="{00000000-0010-0000-0900-000002000000}" name="Definition"/>
    <tableColumn id="3" xr3:uid="{00000000-0010-0000-0900-000003000000}" name="Ref"/>
  </tableColumns>
  <tableStyleInfo name="TableStyleMedium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A84:C87" totalsRowShown="0">
  <autoFilter ref="A84:C87" xr:uid="{00000000-0009-0000-0100-00000B000000}"/>
  <tableColumns count="3">
    <tableColumn id="1" xr3:uid="{00000000-0010-0000-0A00-000001000000}" name="Hub Types"/>
    <tableColumn id="2" xr3:uid="{00000000-0010-0000-0A00-000002000000}" name="Definitions" dataDxfId="15"/>
    <tableColumn id="3" xr3:uid="{00000000-0010-0000-0A00-000003000000}" name="Ref" dataCellStyle="Hyperlink"/>
  </tableColumns>
  <tableStyleInfo name="TableStyleMedium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 displayName="Table12" ref="A99:C105" totalsRowShown="0">
  <autoFilter ref="A99:C105" xr:uid="{00000000-0009-0000-0100-00000C000000}"/>
  <tableColumns count="3">
    <tableColumn id="1" xr3:uid="{00000000-0010-0000-0B00-000001000000}" name="Sattelite Types"/>
    <tableColumn id="2" xr3:uid="{00000000-0010-0000-0B00-000002000000}" name="Definition"/>
    <tableColumn id="3" xr3:uid="{00000000-0010-0000-0B00-000003000000}" name="Ref"/>
  </tableColumns>
  <tableStyleInfo name="TableStyleMedium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ObjectDefinition" displayName="ObjectDefinition" ref="A1:J119" totalsRowShown="0" headerRowDxfId="0">
  <autoFilter ref="A1:J119" xr:uid="{00000000-0009-0000-0100-000005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0000000-0010-0000-0000-000001000000}" name="DWH Schema"/>
    <tableColumn id="2" xr3:uid="{00000000-0010-0000-0000-000002000000}" name="DWH Object Type"/>
    <tableColumn id="3" xr3:uid="{00000000-0010-0000-0000-000003000000}" name="DWH Object Name"/>
    <tableColumn id="4" xr3:uid="{00000000-0010-0000-0000-000004000000}" name="DWH Attrib. Name"/>
    <tableColumn id="10" xr3:uid="{00000000-0010-0000-0000-00000A000000}" name="DWH Attrib. Desc"/>
    <tableColumn id="5" xr3:uid="{00000000-0010-0000-0000-000005000000}" name="OLTP Server"/>
    <tableColumn id="6" xr3:uid="{00000000-0010-0000-0000-000006000000}" name="OLTP Schema"/>
    <tableColumn id="7" xr3:uid="{00000000-0010-0000-0000-000007000000}" name="OLTP Table"/>
    <tableColumn id="8" xr3:uid="{00000000-0010-0000-0000-000008000000}" name="OLTP Field"/>
    <tableColumn id="9" xr3:uid="{00000000-0010-0000-0000-000009000000}" name="Note"/>
  </tableColumns>
  <tableStyleInfo name="TableStyleLight8"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3.xml"/><Relationship Id="rId13" Type="http://schemas.openxmlformats.org/officeDocument/2006/relationships/table" Target="../tables/table8.xml"/><Relationship Id="rId3" Type="http://schemas.openxmlformats.org/officeDocument/2006/relationships/hyperlink" Target="https://youtu.be/l5UcUEt1IzM" TargetMode="External"/><Relationship Id="rId7" Type="http://schemas.openxmlformats.org/officeDocument/2006/relationships/table" Target="../tables/table2.xml"/><Relationship Id="rId12" Type="http://schemas.openxmlformats.org/officeDocument/2006/relationships/table" Target="../tables/table7.xml"/><Relationship Id="rId2" Type="http://schemas.openxmlformats.org/officeDocument/2006/relationships/hyperlink" Target="https://youtu.be/l5UcUEt1IzM" TargetMode="External"/><Relationship Id="rId16" Type="http://schemas.openxmlformats.org/officeDocument/2006/relationships/table" Target="../tables/table11.xml"/><Relationship Id="rId1" Type="http://schemas.openxmlformats.org/officeDocument/2006/relationships/hyperlink" Target="https://youtu.be/l5UcUEt1IzM" TargetMode="External"/><Relationship Id="rId6" Type="http://schemas.openxmlformats.org/officeDocument/2006/relationships/table" Target="../tables/table1.xml"/><Relationship Id="rId11" Type="http://schemas.openxmlformats.org/officeDocument/2006/relationships/table" Target="../tables/table6.xml"/><Relationship Id="rId5" Type="http://schemas.openxmlformats.org/officeDocument/2006/relationships/printerSettings" Target="../printerSettings/printerSettings1.bin"/><Relationship Id="rId15" Type="http://schemas.openxmlformats.org/officeDocument/2006/relationships/table" Target="../tables/table10.xml"/><Relationship Id="rId10" Type="http://schemas.openxmlformats.org/officeDocument/2006/relationships/table" Target="../tables/table5.xml"/><Relationship Id="rId4" Type="http://schemas.openxmlformats.org/officeDocument/2006/relationships/hyperlink" Target="https://bitpeak.pl/dv-2/" TargetMode="External"/><Relationship Id="rId9" Type="http://schemas.openxmlformats.org/officeDocument/2006/relationships/table" Target="../tables/table4.xml"/><Relationship Id="rId14" Type="http://schemas.openxmlformats.org/officeDocument/2006/relationships/table" Target="../tables/table9.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5"/>
  <sheetViews>
    <sheetView workbookViewId="0">
      <selection activeCell="B43" sqref="B43"/>
    </sheetView>
  </sheetViews>
  <sheetFormatPr defaultRowHeight="15" x14ac:dyDescent="0.25"/>
  <cols>
    <col min="1" max="1" width="31.85546875" customWidth="1"/>
    <col min="2" max="2" width="173.42578125" customWidth="1"/>
    <col min="3" max="3" width="72.140625" bestFit="1" customWidth="1"/>
    <col min="4" max="4" width="22.140625" customWidth="1"/>
    <col min="5" max="5" width="20" bestFit="1" customWidth="1"/>
    <col min="6" max="7" width="20" customWidth="1"/>
    <col min="8" max="8" width="16.42578125" customWidth="1"/>
    <col min="9" max="9" width="29.5703125" customWidth="1"/>
    <col min="10" max="10" width="33.85546875" bestFit="1" customWidth="1"/>
  </cols>
  <sheetData>
    <row r="1" spans="1:1" x14ac:dyDescent="0.25">
      <c r="A1" t="s">
        <v>0</v>
      </c>
    </row>
    <row r="2" spans="1:1" x14ac:dyDescent="0.25">
      <c r="A2">
        <v>1</v>
      </c>
    </row>
    <row r="3" spans="1:1" x14ac:dyDescent="0.25">
      <c r="A3">
        <v>2</v>
      </c>
    </row>
    <row r="4" spans="1:1" x14ac:dyDescent="0.25">
      <c r="A4">
        <v>3</v>
      </c>
    </row>
    <row r="5" spans="1:1" x14ac:dyDescent="0.25">
      <c r="A5">
        <v>5</v>
      </c>
    </row>
    <row r="6" spans="1:1" x14ac:dyDescent="0.25">
      <c r="A6">
        <v>8</v>
      </c>
    </row>
    <row r="7" spans="1:1" x14ac:dyDescent="0.25">
      <c r="A7">
        <v>13</v>
      </c>
    </row>
    <row r="8" spans="1:1" x14ac:dyDescent="0.25">
      <c r="A8">
        <v>21</v>
      </c>
    </row>
    <row r="9" spans="1:1" ht="15" customHeight="1" x14ac:dyDescent="0.25">
      <c r="A9">
        <v>40</v>
      </c>
    </row>
    <row r="10" spans="1:1" x14ac:dyDescent="0.25">
      <c r="A10">
        <v>80</v>
      </c>
    </row>
    <row r="11" spans="1:1" x14ac:dyDescent="0.25">
      <c r="A11">
        <v>120</v>
      </c>
    </row>
    <row r="14" spans="1:1" x14ac:dyDescent="0.25">
      <c r="A14" t="s">
        <v>71</v>
      </c>
    </row>
    <row r="15" spans="1:1" x14ac:dyDescent="0.25">
      <c r="A15" t="s">
        <v>82</v>
      </c>
    </row>
    <row r="16" spans="1:1" x14ac:dyDescent="0.25">
      <c r="A16" t="s">
        <v>80</v>
      </c>
    </row>
    <row r="19" spans="1:3" x14ac:dyDescent="0.25">
      <c r="A19" t="s">
        <v>70</v>
      </c>
    </row>
    <row r="20" spans="1:3" x14ac:dyDescent="0.25">
      <c r="A20" t="s">
        <v>233</v>
      </c>
    </row>
    <row r="21" spans="1:3" x14ac:dyDescent="0.25">
      <c r="A21" t="s">
        <v>234</v>
      </c>
    </row>
    <row r="22" spans="1:3" x14ac:dyDescent="0.25">
      <c r="A22" t="s">
        <v>235</v>
      </c>
    </row>
    <row r="25" spans="1:3" x14ac:dyDescent="0.25">
      <c r="A25" t="s">
        <v>36</v>
      </c>
    </row>
    <row r="26" spans="1:3" x14ac:dyDescent="0.25">
      <c r="A26" t="s">
        <v>37</v>
      </c>
    </row>
    <row r="27" spans="1:3" x14ac:dyDescent="0.25">
      <c r="A27" t="s">
        <v>38</v>
      </c>
    </row>
    <row r="30" spans="1:3" x14ac:dyDescent="0.25">
      <c r="A30" t="s">
        <v>48</v>
      </c>
      <c r="B30" t="s">
        <v>61</v>
      </c>
      <c r="C30" t="s">
        <v>85</v>
      </c>
    </row>
    <row r="31" spans="1:3" x14ac:dyDescent="0.25">
      <c r="A31" s="28" t="s">
        <v>50</v>
      </c>
      <c r="B31" s="28" t="s">
        <v>65</v>
      </c>
      <c r="C31" s="28" t="s">
        <v>88</v>
      </c>
    </row>
    <row r="32" spans="1:3" x14ac:dyDescent="0.25">
      <c r="A32" s="28" t="s">
        <v>92</v>
      </c>
      <c r="B32" s="28" t="s">
        <v>69</v>
      </c>
      <c r="C32" s="28" t="s">
        <v>88</v>
      </c>
    </row>
    <row r="33" spans="1:3" x14ac:dyDescent="0.25">
      <c r="A33" s="28" t="s">
        <v>93</v>
      </c>
      <c r="B33" s="28" t="s">
        <v>94</v>
      </c>
      <c r="C33" s="28" t="s">
        <v>96</v>
      </c>
    </row>
    <row r="34" spans="1:3" x14ac:dyDescent="0.25">
      <c r="A34" s="28" t="s">
        <v>51</v>
      </c>
      <c r="B34" s="28" t="s">
        <v>66</v>
      </c>
      <c r="C34" s="28" t="s">
        <v>88</v>
      </c>
    </row>
    <row r="35" spans="1:3" x14ac:dyDescent="0.25">
      <c r="A35" s="28" t="s">
        <v>52</v>
      </c>
      <c r="B35" s="28" t="s">
        <v>67</v>
      </c>
      <c r="C35" s="28" t="s">
        <v>88</v>
      </c>
    </row>
    <row r="36" spans="1:3" x14ac:dyDescent="0.25">
      <c r="A36" s="28" t="s">
        <v>49</v>
      </c>
      <c r="B36" s="28" t="s">
        <v>64</v>
      </c>
      <c r="C36" s="28" t="s">
        <v>88</v>
      </c>
    </row>
    <row r="37" spans="1:3" x14ac:dyDescent="0.25">
      <c r="A37" s="28" t="s">
        <v>53</v>
      </c>
      <c r="B37" s="28" t="s">
        <v>97</v>
      </c>
      <c r="C37" s="28" t="s">
        <v>88</v>
      </c>
    </row>
    <row r="39" spans="1:3" ht="15" customHeight="1" x14ac:dyDescent="0.25"/>
    <row r="40" spans="1:3" x14ac:dyDescent="0.25">
      <c r="A40" t="s">
        <v>57</v>
      </c>
      <c r="B40" t="s">
        <v>61</v>
      </c>
      <c r="C40" t="s">
        <v>85</v>
      </c>
    </row>
    <row r="41" spans="1:3" x14ac:dyDescent="0.25">
      <c r="A41" s="28" t="s">
        <v>60</v>
      </c>
      <c r="B41" s="28" t="s">
        <v>128</v>
      </c>
      <c r="C41" s="28" t="s">
        <v>129</v>
      </c>
    </row>
    <row r="42" spans="1:3" x14ac:dyDescent="0.25">
      <c r="A42" s="28" t="s">
        <v>49</v>
      </c>
      <c r="B42" s="28" t="s">
        <v>230</v>
      </c>
      <c r="C42" s="28" t="s">
        <v>88</v>
      </c>
    </row>
    <row r="43" spans="1:3" x14ac:dyDescent="0.25">
      <c r="A43" s="28" t="s">
        <v>124</v>
      </c>
      <c r="B43" s="28" t="s">
        <v>173</v>
      </c>
      <c r="C43" s="28" t="s">
        <v>125</v>
      </c>
    </row>
    <row r="44" spans="1:3" x14ac:dyDescent="0.25">
      <c r="A44" s="28" t="s">
        <v>58</v>
      </c>
      <c r="B44" s="28" t="s">
        <v>62</v>
      </c>
      <c r="C44" s="28" t="s">
        <v>88</v>
      </c>
    </row>
    <row r="45" spans="1:3" x14ac:dyDescent="0.25">
      <c r="A45" s="28" t="s">
        <v>86</v>
      </c>
      <c r="B45" s="28" t="s">
        <v>130</v>
      </c>
      <c r="C45" s="28" t="s">
        <v>131</v>
      </c>
    </row>
    <row r="46" spans="1:3" x14ac:dyDescent="0.25">
      <c r="A46" s="28" t="s">
        <v>91</v>
      </c>
      <c r="B46" s="28" t="s">
        <v>68</v>
      </c>
      <c r="C46" s="28" t="s">
        <v>96</v>
      </c>
    </row>
    <row r="47" spans="1:3" ht="15" customHeight="1" x14ac:dyDescent="0.25">
      <c r="A47" s="28" t="s">
        <v>87</v>
      </c>
      <c r="B47" s="29" t="s">
        <v>226</v>
      </c>
      <c r="C47" s="28" t="s">
        <v>90</v>
      </c>
    </row>
    <row r="48" spans="1:3" x14ac:dyDescent="0.25">
      <c r="A48" s="28" t="s">
        <v>59</v>
      </c>
      <c r="B48" s="28" t="s">
        <v>63</v>
      </c>
      <c r="C48" s="28" t="s">
        <v>88</v>
      </c>
    </row>
    <row r="49" spans="1:3" ht="14.45" customHeight="1" x14ac:dyDescent="0.25">
      <c r="A49" s="28" t="s">
        <v>89</v>
      </c>
      <c r="B49" s="28" t="s">
        <v>126</v>
      </c>
      <c r="C49" s="28" t="s">
        <v>127</v>
      </c>
    </row>
    <row r="50" spans="1:3" x14ac:dyDescent="0.25">
      <c r="A50" s="28" t="s">
        <v>99</v>
      </c>
      <c r="B50" s="28" t="s">
        <v>95</v>
      </c>
      <c r="C50" s="28" t="s">
        <v>98</v>
      </c>
    </row>
    <row r="53" spans="1:3" x14ac:dyDescent="0.25">
      <c r="A53" s="28" t="s">
        <v>114</v>
      </c>
      <c r="B53" t="s">
        <v>61</v>
      </c>
      <c r="C53" t="s">
        <v>85</v>
      </c>
    </row>
    <row r="54" spans="1:3" x14ac:dyDescent="0.25">
      <c r="A54" t="s">
        <v>102</v>
      </c>
      <c r="B54" s="28" t="s">
        <v>100</v>
      </c>
      <c r="C54" t="s">
        <v>101</v>
      </c>
    </row>
    <row r="55" spans="1:3" x14ac:dyDescent="0.25">
      <c r="A55" t="s">
        <v>103</v>
      </c>
      <c r="B55" s="28" t="s">
        <v>122</v>
      </c>
      <c r="C55" t="s">
        <v>123</v>
      </c>
    </row>
    <row r="56" spans="1:3" x14ac:dyDescent="0.25">
      <c r="A56" t="s">
        <v>104</v>
      </c>
      <c r="B56" s="28" t="s">
        <v>120</v>
      </c>
      <c r="C56" t="s">
        <v>121</v>
      </c>
    </row>
    <row r="57" spans="1:3" x14ac:dyDescent="0.25">
      <c r="A57" t="s">
        <v>105</v>
      </c>
      <c r="B57" s="28" t="s">
        <v>144</v>
      </c>
      <c r="C57" t="s">
        <v>145</v>
      </c>
    </row>
    <row r="58" spans="1:3" x14ac:dyDescent="0.25">
      <c r="A58" t="s">
        <v>146</v>
      </c>
      <c r="B58" s="28" t="s">
        <v>147</v>
      </c>
      <c r="C58" t="s">
        <v>143</v>
      </c>
    </row>
    <row r="59" spans="1:3" x14ac:dyDescent="0.25">
      <c r="A59" t="s">
        <v>116</v>
      </c>
      <c r="B59" s="28" t="s">
        <v>115</v>
      </c>
      <c r="C59" t="s">
        <v>119</v>
      </c>
    </row>
    <row r="60" spans="1:3" x14ac:dyDescent="0.25">
      <c r="A60" t="s">
        <v>106</v>
      </c>
      <c r="B60" s="28" t="s">
        <v>107</v>
      </c>
      <c r="C60" t="s">
        <v>108</v>
      </c>
    </row>
    <row r="61" spans="1:3" x14ac:dyDescent="0.25">
      <c r="A61" t="s">
        <v>109</v>
      </c>
      <c r="B61" s="28" t="s">
        <v>113</v>
      </c>
      <c r="C61" t="s">
        <v>110</v>
      </c>
    </row>
    <row r="62" spans="1:3" x14ac:dyDescent="0.25">
      <c r="A62" t="s">
        <v>111</v>
      </c>
      <c r="B62" s="28" t="s">
        <v>112</v>
      </c>
      <c r="C62" t="s">
        <v>110</v>
      </c>
    </row>
    <row r="63" spans="1:3" x14ac:dyDescent="0.25">
      <c r="A63" t="s">
        <v>134</v>
      </c>
      <c r="B63" s="28" t="s">
        <v>135</v>
      </c>
      <c r="C63" t="s">
        <v>118</v>
      </c>
    </row>
    <row r="64" spans="1:3" x14ac:dyDescent="0.25">
      <c r="A64" t="s">
        <v>117</v>
      </c>
      <c r="B64" s="28" t="s">
        <v>132</v>
      </c>
      <c r="C64" t="s">
        <v>133</v>
      </c>
    </row>
    <row r="65" spans="1:3" ht="14.45" customHeight="1" x14ac:dyDescent="0.25">
      <c r="A65" t="s">
        <v>137</v>
      </c>
      <c r="B65" s="28" t="s">
        <v>138</v>
      </c>
      <c r="C65" t="s">
        <v>139</v>
      </c>
    </row>
    <row r="66" spans="1:3" ht="14.45" customHeight="1" x14ac:dyDescent="0.25">
      <c r="A66" t="s">
        <v>136</v>
      </c>
      <c r="B66" s="28" t="s">
        <v>141</v>
      </c>
      <c r="C66" t="s">
        <v>139</v>
      </c>
    </row>
    <row r="67" spans="1:3" ht="14.45" customHeight="1" x14ac:dyDescent="0.25">
      <c r="A67" t="s">
        <v>142</v>
      </c>
      <c r="B67" s="28" t="s">
        <v>140</v>
      </c>
      <c r="C67" t="s">
        <v>143</v>
      </c>
    </row>
    <row r="68" spans="1:3" ht="14.45" customHeight="1" x14ac:dyDescent="0.25">
      <c r="A68" t="s">
        <v>148</v>
      </c>
      <c r="B68" s="28" t="s">
        <v>149</v>
      </c>
      <c r="C68" t="s">
        <v>150</v>
      </c>
    </row>
    <row r="69" spans="1:3" x14ac:dyDescent="0.25">
      <c r="A69" t="s">
        <v>151</v>
      </c>
      <c r="B69" s="28" t="s">
        <v>153</v>
      </c>
      <c r="C69" t="s">
        <v>152</v>
      </c>
    </row>
    <row r="70" spans="1:3" x14ac:dyDescent="0.25">
      <c r="A70" t="s">
        <v>154</v>
      </c>
      <c r="B70" s="28" t="s">
        <v>156</v>
      </c>
      <c r="C70" t="s">
        <v>155</v>
      </c>
    </row>
    <row r="71" spans="1:3" x14ac:dyDescent="0.25">
      <c r="A71" t="s">
        <v>157</v>
      </c>
      <c r="B71" s="28" t="s">
        <v>159</v>
      </c>
      <c r="C71" t="s">
        <v>158</v>
      </c>
    </row>
    <row r="72" spans="1:3" x14ac:dyDescent="0.25">
      <c r="A72" t="s">
        <v>160</v>
      </c>
      <c r="B72" s="28" t="s">
        <v>161</v>
      </c>
      <c r="C72" t="s">
        <v>162</v>
      </c>
    </row>
    <row r="73" spans="1:3" ht="14.45" customHeight="1" x14ac:dyDescent="0.25">
      <c r="A73" t="s">
        <v>163</v>
      </c>
      <c r="B73" s="28" t="s">
        <v>165</v>
      </c>
      <c r="C73" t="s">
        <v>164</v>
      </c>
    </row>
    <row r="74" spans="1:3" x14ac:dyDescent="0.25">
      <c r="A74" t="s">
        <v>168</v>
      </c>
      <c r="B74" s="28" t="s">
        <v>171</v>
      </c>
      <c r="C74" t="s">
        <v>170</v>
      </c>
    </row>
    <row r="75" spans="1:3" x14ac:dyDescent="0.25">
      <c r="A75" t="s">
        <v>169</v>
      </c>
      <c r="B75" s="28" t="s">
        <v>172</v>
      </c>
      <c r="C75" t="s">
        <v>170</v>
      </c>
    </row>
    <row r="76" spans="1:3" x14ac:dyDescent="0.25">
      <c r="A76" t="s">
        <v>166</v>
      </c>
      <c r="B76" s="28"/>
      <c r="C76" t="s">
        <v>167</v>
      </c>
    </row>
    <row r="78" spans="1:3" x14ac:dyDescent="0.25">
      <c r="A78" t="s">
        <v>174</v>
      </c>
      <c r="B78" t="s">
        <v>61</v>
      </c>
      <c r="C78" t="s">
        <v>85</v>
      </c>
    </row>
    <row r="79" spans="1:3" ht="14.45" customHeight="1" x14ac:dyDescent="0.25">
      <c r="A79" t="s">
        <v>175</v>
      </c>
      <c r="B79" s="29" t="s">
        <v>179</v>
      </c>
      <c r="C79" s="30" t="s">
        <v>178</v>
      </c>
    </row>
    <row r="80" spans="1:3" ht="14.45" customHeight="1" x14ac:dyDescent="0.25">
      <c r="A80" t="s">
        <v>176</v>
      </c>
      <c r="B80" s="29" t="s">
        <v>181</v>
      </c>
      <c r="C80" s="30" t="s">
        <v>178</v>
      </c>
    </row>
    <row r="81" spans="1:3" ht="14.45" customHeight="1" x14ac:dyDescent="0.25">
      <c r="A81" t="s">
        <v>177</v>
      </c>
      <c r="B81" s="29" t="s">
        <v>180</v>
      </c>
      <c r="C81" s="30" t="s">
        <v>178</v>
      </c>
    </row>
    <row r="82" spans="1:3" ht="14.45" customHeight="1" x14ac:dyDescent="0.25">
      <c r="A82" t="s">
        <v>227</v>
      </c>
      <c r="B82" s="29" t="s">
        <v>228</v>
      </c>
      <c r="C82" s="30" t="s">
        <v>229</v>
      </c>
    </row>
    <row r="83" spans="1:3" ht="14.45" customHeight="1" x14ac:dyDescent="0.25">
      <c r="B83" s="29"/>
      <c r="C83" s="30"/>
    </row>
    <row r="84" spans="1:3" ht="14.45" customHeight="1" x14ac:dyDescent="0.25">
      <c r="A84" t="s">
        <v>204</v>
      </c>
      <c r="B84" s="29" t="s">
        <v>205</v>
      </c>
      <c r="C84" t="s">
        <v>85</v>
      </c>
    </row>
    <row r="85" spans="1:3" x14ac:dyDescent="0.25">
      <c r="A85" t="s">
        <v>58</v>
      </c>
      <c r="B85" s="29"/>
      <c r="C85" s="30"/>
    </row>
    <row r="86" spans="1:3" x14ac:dyDescent="0.25">
      <c r="A86" t="s">
        <v>206</v>
      </c>
      <c r="B86" s="29"/>
      <c r="C86" s="30"/>
    </row>
    <row r="87" spans="1:3" x14ac:dyDescent="0.25">
      <c r="A87" t="s">
        <v>49</v>
      </c>
      <c r="B87" s="29"/>
      <c r="C87" t="s">
        <v>232</v>
      </c>
    </row>
    <row r="89" spans="1:3" x14ac:dyDescent="0.25">
      <c r="A89" t="s">
        <v>182</v>
      </c>
      <c r="B89" t="s">
        <v>61</v>
      </c>
      <c r="C89" t="s">
        <v>85</v>
      </c>
    </row>
    <row r="90" spans="1:3" x14ac:dyDescent="0.25">
      <c r="A90" t="s">
        <v>183</v>
      </c>
      <c r="B90" t="s">
        <v>185</v>
      </c>
      <c r="C90" t="s">
        <v>184</v>
      </c>
    </row>
    <row r="91" spans="1:3" x14ac:dyDescent="0.25">
      <c r="A91" t="s">
        <v>186</v>
      </c>
      <c r="B91" t="s">
        <v>187</v>
      </c>
      <c r="C91" t="s">
        <v>188</v>
      </c>
    </row>
    <row r="92" spans="1:3" x14ac:dyDescent="0.25">
      <c r="A92" t="s">
        <v>189</v>
      </c>
      <c r="B92" t="s">
        <v>190</v>
      </c>
      <c r="C92" t="s">
        <v>191</v>
      </c>
    </row>
    <row r="93" spans="1:3" x14ac:dyDescent="0.25">
      <c r="A93" t="s">
        <v>192</v>
      </c>
      <c r="B93" t="s">
        <v>194</v>
      </c>
      <c r="C93" t="s">
        <v>193</v>
      </c>
    </row>
    <row r="94" spans="1:3" x14ac:dyDescent="0.25">
      <c r="A94" t="s">
        <v>195</v>
      </c>
      <c r="B94" t="s">
        <v>197</v>
      </c>
      <c r="C94" t="s">
        <v>196</v>
      </c>
    </row>
    <row r="95" spans="1:3" x14ac:dyDescent="0.25">
      <c r="A95" t="s">
        <v>198</v>
      </c>
      <c r="B95" t="s">
        <v>202</v>
      </c>
      <c r="C95" t="s">
        <v>201</v>
      </c>
    </row>
    <row r="96" spans="1:3" x14ac:dyDescent="0.25">
      <c r="A96" t="s">
        <v>199</v>
      </c>
      <c r="B96" t="s">
        <v>203</v>
      </c>
      <c r="C96" t="s">
        <v>200</v>
      </c>
    </row>
    <row r="97" spans="1:3" x14ac:dyDescent="0.25">
      <c r="A97" t="s">
        <v>49</v>
      </c>
      <c r="B97" t="s">
        <v>231</v>
      </c>
      <c r="C97" t="s">
        <v>232</v>
      </c>
    </row>
    <row r="99" spans="1:3" x14ac:dyDescent="0.25">
      <c r="A99" t="s">
        <v>207</v>
      </c>
      <c r="B99" t="s">
        <v>61</v>
      </c>
      <c r="C99" t="s">
        <v>85</v>
      </c>
    </row>
    <row r="100" spans="1:3" x14ac:dyDescent="0.25">
      <c r="A100" t="s">
        <v>208</v>
      </c>
      <c r="B100" t="s">
        <v>215</v>
      </c>
      <c r="C100" t="s">
        <v>209</v>
      </c>
    </row>
    <row r="101" spans="1:3" x14ac:dyDescent="0.25">
      <c r="A101" t="s">
        <v>210</v>
      </c>
      <c r="B101" t="s">
        <v>213</v>
      </c>
      <c r="C101" t="s">
        <v>211</v>
      </c>
    </row>
    <row r="102" spans="1:3" x14ac:dyDescent="0.25">
      <c r="A102" t="s">
        <v>212</v>
      </c>
      <c r="B102" t="s">
        <v>216</v>
      </c>
      <c r="C102" t="s">
        <v>214</v>
      </c>
    </row>
    <row r="103" spans="1:3" x14ac:dyDescent="0.25">
      <c r="A103" t="s">
        <v>217</v>
      </c>
      <c r="B103" t="s">
        <v>219</v>
      </c>
      <c r="C103" t="s">
        <v>218</v>
      </c>
    </row>
    <row r="104" spans="1:3" x14ac:dyDescent="0.25">
      <c r="A104" t="s">
        <v>220</v>
      </c>
      <c r="B104" t="s">
        <v>222</v>
      </c>
      <c r="C104" t="s">
        <v>221</v>
      </c>
    </row>
    <row r="105" spans="1:3" x14ac:dyDescent="0.25">
      <c r="A105" t="s">
        <v>224</v>
      </c>
      <c r="B105" t="s">
        <v>225</v>
      </c>
      <c r="C105" t="s">
        <v>223</v>
      </c>
    </row>
  </sheetData>
  <hyperlinks>
    <hyperlink ref="C79" r:id="rId1" xr:uid="{00000000-0004-0000-0300-000000000000}"/>
    <hyperlink ref="C80" r:id="rId2" xr:uid="{00000000-0004-0000-0300-000001000000}"/>
    <hyperlink ref="C81" r:id="rId3" xr:uid="{00000000-0004-0000-0300-000002000000}"/>
    <hyperlink ref="C82" r:id="rId4" xr:uid="{B194EFFB-5D34-4355-8727-51916D727EF4}"/>
  </hyperlinks>
  <pageMargins left="0.7" right="0.7" top="0.75" bottom="0.75" header="0.3" footer="0.3"/>
  <pageSetup orientation="portrait" r:id="rId5"/>
  <tableParts count="11">
    <tablePart r:id="rId6"/>
    <tablePart r:id="rId7"/>
    <tablePart r:id="rId8"/>
    <tablePart r:id="rId9"/>
    <tablePart r:id="rId10"/>
    <tablePart r:id="rId11"/>
    <tablePart r:id="rId12"/>
    <tablePart r:id="rId13"/>
    <tablePart r:id="rId14"/>
    <tablePart r:id="rId15"/>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8"/>
  <sheetViews>
    <sheetView showGridLines="0" zoomScaleNormal="100" zoomScaleSheetLayoutView="70" workbookViewId="0">
      <selection activeCell="J1" sqref="J1:AJ1048576"/>
    </sheetView>
  </sheetViews>
  <sheetFormatPr defaultColWidth="8.85546875" defaultRowHeight="16.5" x14ac:dyDescent="0.3"/>
  <cols>
    <col min="1" max="2" width="3" style="31" customWidth="1"/>
    <col min="3" max="3" width="4.42578125" style="31" customWidth="1"/>
    <col min="4" max="5" width="3" style="31" customWidth="1"/>
    <col min="6" max="6" width="5.5703125" style="33" bestFit="1" customWidth="1"/>
    <col min="7" max="7" width="46.5703125" style="33" customWidth="1"/>
    <col min="8" max="8" width="15.140625" style="33" bestFit="1" customWidth="1"/>
    <col min="9" max="9" width="33.42578125" style="33" customWidth="1"/>
    <col min="10" max="36" width="3.140625" style="31" customWidth="1"/>
    <col min="37" max="37" width="6.42578125" style="31" customWidth="1"/>
    <col min="38" max="38" width="28.42578125" style="31" customWidth="1"/>
    <col min="39" max="16384" width="8.85546875" style="31"/>
  </cols>
  <sheetData>
    <row r="1" spans="1:38" x14ac:dyDescent="0.3">
      <c r="F1" s="32"/>
      <c r="I1" s="86" t="s">
        <v>4</v>
      </c>
      <c r="J1" s="34"/>
      <c r="K1" s="35"/>
      <c r="L1" s="35"/>
      <c r="M1" s="35"/>
      <c r="N1" s="35"/>
      <c r="O1" s="34"/>
      <c r="P1" s="34"/>
      <c r="Q1" s="34"/>
      <c r="R1" s="35"/>
      <c r="S1" s="35"/>
      <c r="T1" s="35"/>
      <c r="U1" s="35"/>
      <c r="V1" s="35"/>
      <c r="W1" s="34"/>
      <c r="X1" s="34"/>
      <c r="Y1" s="35"/>
      <c r="Z1" s="35"/>
      <c r="AA1" s="34"/>
      <c r="AB1" s="34"/>
      <c r="AC1" s="35"/>
      <c r="AD1" s="35"/>
      <c r="AE1" s="34"/>
      <c r="AF1" s="34"/>
      <c r="AG1" s="35"/>
      <c r="AH1" s="35"/>
      <c r="AI1" s="34"/>
      <c r="AJ1" s="35"/>
      <c r="AK1" s="34"/>
    </row>
    <row r="2" spans="1:38" x14ac:dyDescent="0.3">
      <c r="F2" s="32"/>
      <c r="I2" s="32" t="s">
        <v>6</v>
      </c>
      <c r="J2" s="36">
        <f>COUNTIF(J8:J10,"~*")</f>
        <v>1</v>
      </c>
      <c r="K2" s="36">
        <f t="shared" ref="K2:AJ2" si="0">COUNTIF(K8:K10,"~*")</f>
        <v>1</v>
      </c>
      <c r="L2" s="36">
        <f t="shared" si="0"/>
        <v>1</v>
      </c>
      <c r="M2" s="36">
        <f t="shared" si="0"/>
        <v>1</v>
      </c>
      <c r="N2" s="36">
        <f>COUNTIF(N8:N10,"~*")</f>
        <v>1</v>
      </c>
      <c r="O2" s="36">
        <f t="shared" si="0"/>
        <v>0</v>
      </c>
      <c r="P2" s="36">
        <f t="shared" si="0"/>
        <v>0</v>
      </c>
      <c r="Q2" s="36">
        <f t="shared" si="0"/>
        <v>0</v>
      </c>
      <c r="R2" s="36">
        <f t="shared" si="0"/>
        <v>0</v>
      </c>
      <c r="S2" s="36">
        <f t="shared" si="0"/>
        <v>0</v>
      </c>
      <c r="T2" s="36">
        <f t="shared" si="0"/>
        <v>0</v>
      </c>
      <c r="U2" s="36">
        <f t="shared" si="0"/>
        <v>0</v>
      </c>
      <c r="V2" s="36">
        <f t="shared" si="0"/>
        <v>0</v>
      </c>
      <c r="W2" s="36">
        <f t="shared" si="0"/>
        <v>0</v>
      </c>
      <c r="X2" s="36">
        <f t="shared" si="0"/>
        <v>0</v>
      </c>
      <c r="Y2" s="36">
        <f t="shared" si="0"/>
        <v>0</v>
      </c>
      <c r="Z2" s="36">
        <f t="shared" si="0"/>
        <v>0</v>
      </c>
      <c r="AA2" s="36">
        <f t="shared" si="0"/>
        <v>0</v>
      </c>
      <c r="AB2" s="36">
        <f t="shared" si="0"/>
        <v>0</v>
      </c>
      <c r="AC2" s="36">
        <f t="shared" si="0"/>
        <v>0</v>
      </c>
      <c r="AD2" s="36">
        <f t="shared" si="0"/>
        <v>0</v>
      </c>
      <c r="AE2" s="36">
        <f t="shared" si="0"/>
        <v>0</v>
      </c>
      <c r="AF2" s="36">
        <f t="shared" si="0"/>
        <v>0</v>
      </c>
      <c r="AG2" s="36">
        <f t="shared" si="0"/>
        <v>0</v>
      </c>
      <c r="AH2" s="36">
        <f t="shared" si="0"/>
        <v>0</v>
      </c>
      <c r="AI2" s="36">
        <f t="shared" si="0"/>
        <v>0</v>
      </c>
      <c r="AJ2" s="36">
        <f t="shared" si="0"/>
        <v>0</v>
      </c>
      <c r="AK2" s="35"/>
    </row>
    <row r="3" spans="1:38" x14ac:dyDescent="0.3">
      <c r="B3" s="34"/>
      <c r="C3" s="34"/>
      <c r="D3" s="34"/>
      <c r="E3" s="34"/>
      <c r="F3" s="32"/>
      <c r="I3" s="32" t="s">
        <v>1</v>
      </c>
      <c r="J3" s="37">
        <v>2</v>
      </c>
      <c r="K3" s="35">
        <v>8</v>
      </c>
      <c r="L3" s="35">
        <v>6</v>
      </c>
      <c r="M3" s="35">
        <v>4</v>
      </c>
      <c r="N3" s="35">
        <v>4</v>
      </c>
      <c r="O3" s="37"/>
      <c r="P3" s="37"/>
      <c r="Q3" s="37"/>
      <c r="R3" s="35"/>
      <c r="S3" s="35"/>
      <c r="T3" s="35"/>
      <c r="U3" s="35"/>
      <c r="V3" s="35"/>
      <c r="W3" s="37"/>
      <c r="X3" s="37"/>
      <c r="Y3" s="35"/>
      <c r="Z3" s="35"/>
      <c r="AA3" s="35"/>
      <c r="AB3" s="37"/>
      <c r="AC3" s="35"/>
      <c r="AD3" s="35"/>
      <c r="AE3" s="37"/>
      <c r="AF3" s="37"/>
      <c r="AG3" s="35"/>
      <c r="AH3" s="35"/>
      <c r="AI3" s="37"/>
      <c r="AJ3" s="35"/>
      <c r="AK3" s="37"/>
    </row>
    <row r="4" spans="1:38" x14ac:dyDescent="0.3">
      <c r="B4" s="34"/>
      <c r="C4" s="34"/>
      <c r="D4" s="34"/>
      <c r="E4" s="34"/>
      <c r="F4" s="32"/>
      <c r="I4" s="32" t="s">
        <v>40</v>
      </c>
      <c r="J4" s="37"/>
      <c r="K4" s="35"/>
      <c r="L4" s="35"/>
      <c r="M4" s="35"/>
      <c r="N4" s="35"/>
      <c r="O4" s="35"/>
      <c r="P4" s="37"/>
      <c r="Q4" s="37"/>
      <c r="R4" s="35"/>
      <c r="S4" s="35"/>
      <c r="T4" s="35"/>
      <c r="U4" s="35"/>
      <c r="V4" s="35"/>
      <c r="W4" s="37"/>
      <c r="X4" s="37"/>
      <c r="Y4" s="35"/>
      <c r="Z4" s="35"/>
      <c r="AA4" s="35"/>
      <c r="AB4" s="37"/>
      <c r="AC4" s="35"/>
      <c r="AD4" s="37"/>
      <c r="AE4" s="37"/>
      <c r="AF4" s="37"/>
      <c r="AG4" s="35"/>
      <c r="AH4" s="35"/>
      <c r="AI4" s="37"/>
      <c r="AJ4" s="35"/>
      <c r="AK4" s="37"/>
    </row>
    <row r="5" spans="1:38" x14ac:dyDescent="0.3">
      <c r="B5" s="34"/>
      <c r="C5" s="34"/>
      <c r="D5" s="34"/>
      <c r="E5" s="34"/>
      <c r="F5" s="32"/>
      <c r="I5" s="32" t="s">
        <v>2</v>
      </c>
      <c r="J5" s="34"/>
      <c r="K5" s="35"/>
      <c r="L5" s="35"/>
      <c r="M5" s="35"/>
      <c r="N5" s="35"/>
      <c r="O5" s="34"/>
      <c r="P5" s="34"/>
      <c r="Q5" s="34"/>
      <c r="R5" s="35"/>
      <c r="S5" s="35"/>
      <c r="T5" s="35"/>
      <c r="U5" s="35"/>
      <c r="V5" s="35"/>
      <c r="W5" s="34"/>
      <c r="X5" s="34"/>
      <c r="Y5" s="35"/>
      <c r="Z5" s="35"/>
      <c r="AA5" s="35"/>
      <c r="AB5" s="34"/>
      <c r="AC5" s="35"/>
      <c r="AD5" s="35"/>
      <c r="AE5" s="34"/>
      <c r="AF5" s="34"/>
      <c r="AG5" s="35"/>
      <c r="AH5" s="35"/>
      <c r="AI5" s="34"/>
      <c r="AJ5" s="35"/>
      <c r="AK5" s="34"/>
    </row>
    <row r="6" spans="1:38" x14ac:dyDescent="0.3">
      <c r="B6" s="34"/>
      <c r="C6" s="34"/>
      <c r="D6" s="34"/>
      <c r="E6" s="34"/>
      <c r="F6" s="32"/>
      <c r="I6" s="32" t="s">
        <v>3</v>
      </c>
      <c r="J6" s="34"/>
      <c r="K6" s="35"/>
      <c r="L6" s="35"/>
      <c r="M6" s="35"/>
      <c r="N6" s="35"/>
      <c r="O6" s="34"/>
      <c r="P6" s="34"/>
      <c r="Q6" s="34"/>
      <c r="R6" s="35"/>
      <c r="S6" s="35"/>
      <c r="T6" s="35"/>
      <c r="U6" s="35"/>
      <c r="V6" s="35"/>
      <c r="W6" s="34"/>
      <c r="X6" s="34"/>
      <c r="Y6" s="35"/>
      <c r="Z6" s="35"/>
      <c r="AA6" s="35"/>
      <c r="AB6" s="34"/>
      <c r="AC6" s="35"/>
      <c r="AD6" s="35"/>
      <c r="AE6" s="34"/>
      <c r="AF6" s="34"/>
      <c r="AG6" s="35"/>
      <c r="AH6" s="35"/>
      <c r="AI6" s="34"/>
      <c r="AJ6" s="35"/>
      <c r="AK6" s="34"/>
    </row>
    <row r="7" spans="1:38" ht="15.75" customHeight="1" thickBot="1" x14ac:dyDescent="0.35">
      <c r="B7" s="34"/>
      <c r="C7" s="34"/>
      <c r="D7" s="34"/>
      <c r="E7" s="34"/>
      <c r="F7" s="32"/>
      <c r="I7" s="32" t="s">
        <v>56</v>
      </c>
      <c r="J7" s="38"/>
      <c r="K7" s="38"/>
      <c r="L7" s="39"/>
      <c r="M7" s="39"/>
      <c r="N7" s="39"/>
      <c r="O7" s="39"/>
      <c r="P7" s="39"/>
      <c r="Q7" s="39"/>
      <c r="R7" s="38"/>
      <c r="S7" s="38"/>
      <c r="T7" s="38"/>
      <c r="U7" s="38"/>
      <c r="V7" s="38"/>
      <c r="W7" s="39"/>
      <c r="X7" s="39"/>
      <c r="Y7" s="38"/>
      <c r="Z7" s="38"/>
      <c r="AA7" s="38"/>
      <c r="AB7" s="39"/>
      <c r="AC7" s="38"/>
      <c r="AD7" s="38"/>
      <c r="AE7" s="39"/>
      <c r="AF7" s="39"/>
      <c r="AG7" s="38"/>
      <c r="AH7" s="38"/>
      <c r="AI7" s="39"/>
      <c r="AJ7" s="38"/>
      <c r="AK7" s="34"/>
    </row>
    <row r="8" spans="1:38" ht="130.5" thickBot="1" x14ac:dyDescent="0.35">
      <c r="A8" s="40" t="s">
        <v>84</v>
      </c>
      <c r="B8" s="40" t="s">
        <v>1</v>
      </c>
      <c r="C8" s="40" t="s">
        <v>40</v>
      </c>
      <c r="D8" s="40" t="s">
        <v>2</v>
      </c>
      <c r="E8" s="40" t="s">
        <v>3</v>
      </c>
      <c r="F8" s="41" t="s">
        <v>44</v>
      </c>
      <c r="G8" s="42" t="s">
        <v>45</v>
      </c>
      <c r="H8" s="43" t="s">
        <v>47</v>
      </c>
      <c r="I8" s="43" t="s">
        <v>46</v>
      </c>
      <c r="J8" s="95" t="s">
        <v>236</v>
      </c>
      <c r="K8" s="94" t="s">
        <v>237</v>
      </c>
      <c r="L8" s="89" t="s">
        <v>240</v>
      </c>
      <c r="M8" s="89" t="s">
        <v>388</v>
      </c>
      <c r="N8" s="45" t="s">
        <v>476</v>
      </c>
      <c r="O8" s="44"/>
      <c r="P8" s="44"/>
      <c r="Q8" s="44"/>
      <c r="R8" s="44"/>
      <c r="S8" s="45"/>
      <c r="T8" s="45"/>
      <c r="U8" s="45"/>
      <c r="V8" s="46"/>
      <c r="W8" s="45"/>
      <c r="X8" s="44"/>
      <c r="Y8" s="45"/>
      <c r="Z8" s="45"/>
      <c r="AA8" s="44"/>
      <c r="AB8" s="44"/>
      <c r="AC8" s="45"/>
      <c r="AD8" s="44"/>
      <c r="AE8" s="44"/>
      <c r="AF8" s="44"/>
      <c r="AG8" s="44"/>
      <c r="AH8" s="44"/>
      <c r="AI8" s="44"/>
      <c r="AJ8" s="45"/>
      <c r="AK8" s="90" t="s">
        <v>35</v>
      </c>
      <c r="AL8" s="47" t="s">
        <v>7</v>
      </c>
    </row>
    <row r="9" spans="1:38" x14ac:dyDescent="0.3">
      <c r="A9" s="48">
        <f>COUNTIF(F9:XR9,"~*")</f>
        <v>5</v>
      </c>
      <c r="B9" s="31">
        <f>SUM(J3:AJ3)</f>
        <v>24</v>
      </c>
      <c r="F9" s="49" t="s">
        <v>238</v>
      </c>
      <c r="G9" s="50" t="s">
        <v>387</v>
      </c>
      <c r="H9" s="51" t="s">
        <v>50</v>
      </c>
      <c r="I9" s="52" t="s">
        <v>239</v>
      </c>
      <c r="J9" s="53" t="s">
        <v>5</v>
      </c>
      <c r="K9" s="54" t="s">
        <v>5</v>
      </c>
      <c r="L9" s="54" t="s">
        <v>5</v>
      </c>
      <c r="M9" s="54" t="s">
        <v>5</v>
      </c>
      <c r="N9" s="54" t="s">
        <v>5</v>
      </c>
      <c r="O9" s="53"/>
      <c r="P9" s="53"/>
      <c r="Q9" s="53"/>
      <c r="R9" s="54"/>
      <c r="S9" s="54"/>
      <c r="T9" s="54"/>
      <c r="U9" s="54"/>
      <c r="V9" s="54"/>
      <c r="W9" s="54"/>
      <c r="X9" s="54"/>
      <c r="Y9" s="54"/>
      <c r="Z9" s="54"/>
      <c r="AA9" s="54"/>
      <c r="AB9" s="55"/>
      <c r="AC9" s="54"/>
      <c r="AD9" s="54"/>
      <c r="AE9" s="53"/>
      <c r="AF9" s="55"/>
      <c r="AG9" s="54"/>
      <c r="AH9" s="54"/>
      <c r="AI9" s="53"/>
      <c r="AJ9" s="54"/>
      <c r="AK9" s="56"/>
      <c r="AL9" s="57"/>
    </row>
    <row r="10" spans="1:38" ht="17.25" thickBot="1" x14ac:dyDescent="0.35">
      <c r="A10" s="48">
        <f>COUNTIF(F10:XR10,"~*")</f>
        <v>0</v>
      </c>
      <c r="F10" s="58"/>
      <c r="G10" s="59"/>
      <c r="H10" s="51"/>
      <c r="I10" s="52"/>
      <c r="J10" s="53"/>
      <c r="K10" s="60"/>
      <c r="L10" s="60"/>
      <c r="M10" s="60"/>
      <c r="N10" s="60"/>
      <c r="O10" s="53"/>
      <c r="P10" s="53"/>
      <c r="Q10" s="53"/>
      <c r="R10" s="60"/>
      <c r="S10" s="60"/>
      <c r="T10" s="60"/>
      <c r="U10" s="60"/>
      <c r="V10" s="60"/>
      <c r="W10" s="60"/>
      <c r="X10" s="60"/>
      <c r="Y10" s="60"/>
      <c r="Z10" s="60"/>
      <c r="AA10" s="60"/>
      <c r="AB10" s="61"/>
      <c r="AC10" s="60"/>
      <c r="AD10" s="60"/>
      <c r="AE10" s="53"/>
      <c r="AF10" s="61"/>
      <c r="AG10" s="60"/>
      <c r="AH10" s="60"/>
      <c r="AI10" s="53"/>
      <c r="AJ10" s="60"/>
      <c r="AK10" s="56"/>
      <c r="AL10" s="62"/>
    </row>
    <row r="11" spans="1:38" ht="109.5" x14ac:dyDescent="0.3">
      <c r="F11" s="63"/>
      <c r="G11" s="64"/>
      <c r="H11" s="65"/>
      <c r="I11" s="66" t="s">
        <v>7</v>
      </c>
      <c r="J11" s="67" t="str">
        <f>J8</f>
        <v>dim_date</v>
      </c>
      <c r="K11" s="67" t="str">
        <f t="shared" ref="K11:L11" si="1">K8</f>
        <v>dim_product</v>
      </c>
      <c r="L11" s="67" t="str">
        <f t="shared" si="1"/>
        <v>dim_customer</v>
      </c>
      <c r="M11" s="68" t="s">
        <v>388</v>
      </c>
      <c r="N11" s="68" t="s">
        <v>476</v>
      </c>
      <c r="O11" s="69"/>
      <c r="P11" s="67"/>
      <c r="Q11" s="67"/>
      <c r="R11" s="70"/>
      <c r="S11" s="70"/>
      <c r="T11" s="70"/>
      <c r="U11" s="70"/>
      <c r="V11" s="70"/>
      <c r="W11" s="70"/>
      <c r="X11" s="67"/>
      <c r="Y11" s="70"/>
      <c r="Z11" s="70"/>
      <c r="AA11" s="70"/>
      <c r="AB11" s="70"/>
      <c r="AC11" s="70"/>
      <c r="AD11" s="70"/>
      <c r="AE11" s="67"/>
      <c r="AF11" s="70"/>
      <c r="AG11" s="70"/>
      <c r="AH11" s="70"/>
      <c r="AI11" s="70"/>
      <c r="AJ11" s="70"/>
      <c r="AK11" s="71"/>
      <c r="AL11" s="40"/>
    </row>
    <row r="13" spans="1:38" ht="17.25" thickBot="1" x14ac:dyDescent="0.35"/>
    <row r="14" spans="1:38" ht="17.25" thickBot="1" x14ac:dyDescent="0.35">
      <c r="A14" s="72"/>
      <c r="B14" s="72"/>
      <c r="C14" s="72"/>
      <c r="D14" s="72"/>
      <c r="E14" s="72"/>
      <c r="F14" s="73"/>
      <c r="G14" s="74" t="s">
        <v>41</v>
      </c>
      <c r="H14" s="75"/>
      <c r="I14" s="73"/>
    </row>
    <row r="15" spans="1:38" ht="17.25" thickBot="1" x14ac:dyDescent="0.35">
      <c r="A15" s="72"/>
      <c r="B15" s="72"/>
      <c r="C15" s="72"/>
      <c r="D15" s="72"/>
      <c r="E15" s="72"/>
      <c r="F15" s="72"/>
      <c r="G15" s="76" t="s">
        <v>42</v>
      </c>
      <c r="H15" s="77" t="s">
        <v>39</v>
      </c>
      <c r="I15" s="72"/>
    </row>
    <row r="16" spans="1:38" ht="17.25" thickBot="1" x14ac:dyDescent="0.35">
      <c r="A16" s="72"/>
      <c r="B16" s="72"/>
      <c r="C16" s="72"/>
      <c r="D16" s="72"/>
      <c r="E16" s="72"/>
      <c r="F16" s="72"/>
      <c r="G16" s="76" t="s">
        <v>43</v>
      </c>
      <c r="H16" s="78" t="s">
        <v>39</v>
      </c>
      <c r="I16" s="72"/>
    </row>
    <row r="17" spans="1:9" ht="17.25" thickBot="1" x14ac:dyDescent="0.35">
      <c r="A17" s="72"/>
      <c r="B17" s="72"/>
      <c r="C17" s="72"/>
      <c r="D17" s="72"/>
      <c r="E17" s="72"/>
      <c r="F17" s="79"/>
      <c r="G17" s="80" t="s">
        <v>55</v>
      </c>
      <c r="H17" s="81" t="s">
        <v>39</v>
      </c>
      <c r="I17" s="79"/>
    </row>
    <row r="18" spans="1:9" ht="17.25" thickBot="1" x14ac:dyDescent="0.35">
      <c r="A18" s="72"/>
      <c r="B18" s="72"/>
      <c r="C18" s="72"/>
      <c r="D18" s="72"/>
      <c r="E18" s="72"/>
      <c r="F18" s="79"/>
      <c r="G18" s="80" t="s">
        <v>54</v>
      </c>
      <c r="H18" s="82" t="s">
        <v>39</v>
      </c>
      <c r="I18" s="79"/>
    </row>
  </sheetData>
  <conditionalFormatting sqref="D12:D1048576 D3:D5 D7:D10">
    <cfRule type="duplicateValues" dxfId="14" priority="131"/>
  </conditionalFormatting>
  <conditionalFormatting sqref="AL5:XFD5 B5:E5">
    <cfRule type="duplicateValues" dxfId="13" priority="130"/>
  </conditionalFormatting>
  <conditionalFormatting sqref="F5">
    <cfRule type="duplicateValues" dxfId="12" priority="122"/>
  </conditionalFormatting>
  <conditionalFormatting sqref="F2">
    <cfRule type="colorScale" priority="121">
      <colorScale>
        <cfvo type="min"/>
        <cfvo type="percentile" val="50"/>
        <cfvo type="max"/>
        <color rgb="FFF8696B"/>
        <color rgb="FFFFEB84"/>
        <color rgb="FF63BE7B"/>
      </colorScale>
    </cfRule>
  </conditionalFormatting>
  <conditionalFormatting sqref="A2">
    <cfRule type="colorScale" priority="120">
      <colorScale>
        <cfvo type="min"/>
        <cfvo type="percentile" val="50"/>
        <cfvo type="max"/>
        <color rgb="FFF8696B"/>
        <color rgb="FFFFEB84"/>
        <color rgb="FF63BE7B"/>
      </colorScale>
    </cfRule>
  </conditionalFormatting>
  <conditionalFormatting sqref="A11:A1048576 A1:A5 A7:A8">
    <cfRule type="colorScale" priority="119">
      <colorScale>
        <cfvo type="min"/>
        <cfvo type="percentile" val="50"/>
        <cfvo type="max"/>
        <color rgb="FFF8696B"/>
        <color rgb="FFFFEB84"/>
        <color rgb="FF63BE7B"/>
      </colorScale>
    </cfRule>
  </conditionalFormatting>
  <conditionalFormatting sqref="Q5">
    <cfRule type="duplicateValues" dxfId="11" priority="97"/>
  </conditionalFormatting>
  <conditionalFormatting sqref="P5">
    <cfRule type="duplicateValues" dxfId="10" priority="91"/>
  </conditionalFormatting>
  <conditionalFormatting sqref="A9">
    <cfRule type="colorScale" priority="72">
      <colorScale>
        <cfvo type="min"/>
        <cfvo type="percentile" val="50"/>
        <cfvo type="max"/>
        <color rgb="FFF8696B"/>
        <color rgb="FFFFEB84"/>
        <color rgb="FF63BE7B"/>
      </colorScale>
    </cfRule>
  </conditionalFormatting>
  <conditionalFormatting sqref="AE5 J5 O5">
    <cfRule type="duplicateValues" dxfId="9" priority="457"/>
  </conditionalFormatting>
  <conditionalFormatting sqref="AI5 X5">
    <cfRule type="duplicateValues" dxfId="8" priority="475"/>
  </conditionalFormatting>
  <conditionalFormatting sqref="I5">
    <cfRule type="duplicateValues" dxfId="7" priority="852"/>
  </conditionalFormatting>
  <conditionalFormatting sqref="I2">
    <cfRule type="colorScale" priority="853">
      <colorScale>
        <cfvo type="min"/>
        <cfvo type="percentile" val="50"/>
        <cfvo type="max"/>
        <color rgb="FFF8696B"/>
        <color rgb="FFFFEB84"/>
        <color rgb="FF63BE7B"/>
      </colorScale>
    </cfRule>
  </conditionalFormatting>
  <conditionalFormatting sqref="D6">
    <cfRule type="duplicateValues" dxfId="6" priority="68"/>
  </conditionalFormatting>
  <conditionalFormatting sqref="A6">
    <cfRule type="colorScale" priority="67">
      <colorScale>
        <cfvo type="min"/>
        <cfvo type="percentile" val="50"/>
        <cfvo type="max"/>
        <color rgb="FFF8696B"/>
        <color rgb="FFFFEB84"/>
        <color rgb="FF63BE7B"/>
      </colorScale>
    </cfRule>
  </conditionalFormatting>
  <conditionalFormatting sqref="AJ5 M5">
    <cfRule type="duplicateValues" dxfId="5" priority="906"/>
  </conditionalFormatting>
  <conditionalFormatting sqref="J2">
    <cfRule type="colorScale" priority="1082">
      <colorScale>
        <cfvo type="min"/>
        <cfvo type="percentile" val="50"/>
        <cfvo type="max"/>
        <color rgb="FFF8696B"/>
        <color rgb="FFFFEB84"/>
        <color rgb="FF63BE7B"/>
      </colorScale>
    </cfRule>
  </conditionalFormatting>
  <conditionalFormatting sqref="A10">
    <cfRule type="colorScale" priority="1193">
      <colorScale>
        <cfvo type="min"/>
        <cfvo type="percentile" val="50"/>
        <cfvo type="max"/>
        <color rgb="FFF8696B"/>
        <color rgb="FFFFEB84"/>
        <color rgb="FF63BE7B"/>
      </colorScale>
    </cfRule>
  </conditionalFormatting>
  <conditionalFormatting sqref="K5">
    <cfRule type="duplicateValues" dxfId="4" priority="1196"/>
  </conditionalFormatting>
  <conditionalFormatting sqref="K2:AJ2">
    <cfRule type="colorScale" priority="1426">
      <colorScale>
        <cfvo type="min"/>
        <cfvo type="percentile" val="50"/>
        <cfvo type="max"/>
        <color rgb="FFF8696B"/>
        <color rgb="FFFFEB84"/>
        <color rgb="FF63BE7B"/>
      </colorScale>
    </cfRule>
  </conditionalFormatting>
  <conditionalFormatting sqref="AK2">
    <cfRule type="colorScale" priority="1429">
      <colorScale>
        <cfvo type="min"/>
        <cfvo type="percentile" val="50"/>
        <cfvo type="max"/>
        <color rgb="FFF8696B"/>
        <color rgb="FFFFEB84"/>
        <color rgb="FF63BE7B"/>
      </colorScale>
    </cfRule>
  </conditionalFormatting>
  <conditionalFormatting sqref="AK5 N5 R5:W5 Y5:AD5 AF5:AH5 L5">
    <cfRule type="duplicateValues" dxfId="3" priority="1430"/>
  </conditionalFormatting>
  <dataValidations count="3">
    <dataValidation type="list" allowBlank="1" showInputMessage="1" showErrorMessage="1" sqref="E9:E10 J6:AJ6" xr:uid="{00000000-0002-0000-0000-000002000000}">
      <formula1>StoryPointList</formula1>
    </dataValidation>
    <dataValidation type="list" allowBlank="1" showInputMessage="1" showErrorMessage="1" sqref="H9:H10" xr:uid="{00000000-0002-0000-0000-000001000000}">
      <formula1>FactTypesList</formula1>
    </dataValidation>
    <dataValidation type="list" allowBlank="1" showInputMessage="1" showErrorMessage="1" sqref="J7:AJ7" xr:uid="{00000000-0002-0000-0000-000003000000}">
      <formula1>DimTypesList</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4000000}">
          <x14:formula1>
            <xm:f>Definitions!$A$2:$A$11</xm:f>
          </x14:formula1>
          <xm:sqref>AK6:AK7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9"/>
  <sheetViews>
    <sheetView tabSelected="1" topLeftCell="D91" zoomScaleNormal="100" workbookViewId="0">
      <selection activeCell="E114" sqref="E114"/>
    </sheetView>
  </sheetViews>
  <sheetFormatPr defaultRowHeight="15" x14ac:dyDescent="0.25"/>
  <cols>
    <col min="1" max="1" width="12.85546875" bestFit="1" customWidth="1"/>
    <col min="2" max="2" width="16.7109375" bestFit="1" customWidth="1"/>
    <col min="3" max="3" width="17.85546875" bestFit="1" customWidth="1"/>
    <col min="4" max="4" width="21.140625" customWidth="1"/>
    <col min="5" max="5" width="56.42578125" customWidth="1"/>
    <col min="6" max="6" width="20.28515625" bestFit="1" customWidth="1"/>
    <col min="7" max="7" width="12.85546875" customWidth="1"/>
    <col min="8" max="8" width="12.42578125" customWidth="1"/>
    <col min="9" max="9" width="19" bestFit="1" customWidth="1"/>
    <col min="10" max="10" width="26.140625" bestFit="1" customWidth="1"/>
  </cols>
  <sheetData>
    <row r="1" spans="1:10" x14ac:dyDescent="0.25">
      <c r="A1" s="91" t="s">
        <v>72</v>
      </c>
      <c r="B1" s="91" t="s">
        <v>73</v>
      </c>
      <c r="C1" s="91" t="s">
        <v>74</v>
      </c>
      <c r="D1" s="91" t="s">
        <v>75</v>
      </c>
      <c r="E1" s="91" t="s">
        <v>83</v>
      </c>
      <c r="F1" s="91" t="s">
        <v>76</v>
      </c>
      <c r="G1" s="91" t="s">
        <v>77</v>
      </c>
      <c r="H1" s="91" t="s">
        <v>78</v>
      </c>
      <c r="I1" s="91" t="s">
        <v>79</v>
      </c>
      <c r="J1" s="91" t="s">
        <v>81</v>
      </c>
    </row>
    <row r="2" spans="1:10" x14ac:dyDescent="0.25">
      <c r="A2" t="s">
        <v>235</v>
      </c>
      <c r="B2" t="s">
        <v>80</v>
      </c>
      <c r="C2" t="s">
        <v>236</v>
      </c>
      <c r="D2" t="s">
        <v>241</v>
      </c>
      <c r="E2" t="s">
        <v>340</v>
      </c>
      <c r="F2" t="s">
        <v>439</v>
      </c>
      <c r="G2" t="s">
        <v>439</v>
      </c>
      <c r="H2" t="s">
        <v>439</v>
      </c>
      <c r="I2" t="s">
        <v>439</v>
      </c>
      <c r="J2" t="s">
        <v>439</v>
      </c>
    </row>
    <row r="3" spans="1:10" x14ac:dyDescent="0.25">
      <c r="A3" t="s">
        <v>235</v>
      </c>
      <c r="B3" t="s">
        <v>80</v>
      </c>
      <c r="C3" t="s">
        <v>236</v>
      </c>
      <c r="D3" t="s">
        <v>242</v>
      </c>
      <c r="E3" t="s">
        <v>341</v>
      </c>
      <c r="F3" t="s">
        <v>439</v>
      </c>
      <c r="G3" t="s">
        <v>439</v>
      </c>
      <c r="H3" t="s">
        <v>439</v>
      </c>
      <c r="I3" t="s">
        <v>439</v>
      </c>
      <c r="J3" t="s">
        <v>439</v>
      </c>
    </row>
    <row r="4" spans="1:10" x14ac:dyDescent="0.25">
      <c r="A4" t="s">
        <v>235</v>
      </c>
      <c r="B4" t="s">
        <v>80</v>
      </c>
      <c r="C4" t="s">
        <v>236</v>
      </c>
      <c r="D4" t="s">
        <v>246</v>
      </c>
      <c r="E4" t="s">
        <v>342</v>
      </c>
      <c r="F4" t="s">
        <v>439</v>
      </c>
      <c r="G4" t="s">
        <v>439</v>
      </c>
      <c r="H4" t="s">
        <v>439</v>
      </c>
      <c r="I4" t="s">
        <v>439</v>
      </c>
      <c r="J4" t="s">
        <v>439</v>
      </c>
    </row>
    <row r="5" spans="1:10" x14ac:dyDescent="0.25">
      <c r="A5" t="s">
        <v>235</v>
      </c>
      <c r="B5" t="s">
        <v>80</v>
      </c>
      <c r="C5" t="s">
        <v>236</v>
      </c>
      <c r="D5" t="s">
        <v>247</v>
      </c>
      <c r="E5" t="s">
        <v>343</v>
      </c>
      <c r="F5" t="s">
        <v>439</v>
      </c>
      <c r="G5" t="s">
        <v>439</v>
      </c>
      <c r="H5" t="s">
        <v>439</v>
      </c>
      <c r="I5" t="s">
        <v>439</v>
      </c>
      <c r="J5" t="s">
        <v>439</v>
      </c>
    </row>
    <row r="6" spans="1:10" x14ac:dyDescent="0.25">
      <c r="A6" t="s">
        <v>235</v>
      </c>
      <c r="B6" t="s">
        <v>80</v>
      </c>
      <c r="C6" t="s">
        <v>236</v>
      </c>
      <c r="D6" t="s">
        <v>244</v>
      </c>
      <c r="E6" t="s">
        <v>344</v>
      </c>
      <c r="F6" t="s">
        <v>439</v>
      </c>
      <c r="G6" t="s">
        <v>439</v>
      </c>
      <c r="H6" t="s">
        <v>439</v>
      </c>
      <c r="I6" t="s">
        <v>439</v>
      </c>
      <c r="J6" t="s">
        <v>439</v>
      </c>
    </row>
    <row r="7" spans="1:10" x14ac:dyDescent="0.25">
      <c r="A7" t="s">
        <v>235</v>
      </c>
      <c r="B7" t="s">
        <v>80</v>
      </c>
      <c r="C7" t="s">
        <v>236</v>
      </c>
      <c r="D7" t="s">
        <v>248</v>
      </c>
      <c r="E7" t="s">
        <v>345</v>
      </c>
      <c r="F7" t="s">
        <v>439</v>
      </c>
      <c r="G7" t="s">
        <v>439</v>
      </c>
      <c r="H7" t="s">
        <v>439</v>
      </c>
      <c r="I7" t="s">
        <v>439</v>
      </c>
      <c r="J7" t="s">
        <v>439</v>
      </c>
    </row>
    <row r="8" spans="1:10" x14ac:dyDescent="0.25">
      <c r="A8" t="s">
        <v>235</v>
      </c>
      <c r="B8" t="s">
        <v>80</v>
      </c>
      <c r="C8" t="s">
        <v>236</v>
      </c>
      <c r="D8" t="s">
        <v>249</v>
      </c>
      <c r="E8" t="s">
        <v>346</v>
      </c>
      <c r="F8" t="s">
        <v>439</v>
      </c>
      <c r="G8" t="s">
        <v>439</v>
      </c>
      <c r="H8" t="s">
        <v>439</v>
      </c>
      <c r="I8" t="s">
        <v>439</v>
      </c>
      <c r="J8" t="s">
        <v>439</v>
      </c>
    </row>
    <row r="9" spans="1:10" x14ac:dyDescent="0.25">
      <c r="A9" t="s">
        <v>235</v>
      </c>
      <c r="B9" t="s">
        <v>80</v>
      </c>
      <c r="C9" t="s">
        <v>236</v>
      </c>
      <c r="D9" t="s">
        <v>250</v>
      </c>
      <c r="E9" t="s">
        <v>347</v>
      </c>
      <c r="F9" t="s">
        <v>439</v>
      </c>
      <c r="G9" t="s">
        <v>439</v>
      </c>
      <c r="H9" t="s">
        <v>439</v>
      </c>
      <c r="I9" t="s">
        <v>439</v>
      </c>
      <c r="J9" t="s">
        <v>439</v>
      </c>
    </row>
    <row r="10" spans="1:10" x14ac:dyDescent="0.25">
      <c r="A10" t="s">
        <v>235</v>
      </c>
      <c r="B10" t="s">
        <v>80</v>
      </c>
      <c r="C10" t="s">
        <v>236</v>
      </c>
      <c r="D10" t="s">
        <v>251</v>
      </c>
      <c r="E10" t="s">
        <v>348</v>
      </c>
      <c r="F10" t="s">
        <v>439</v>
      </c>
      <c r="G10" t="s">
        <v>439</v>
      </c>
      <c r="H10" t="s">
        <v>439</v>
      </c>
      <c r="I10" t="s">
        <v>439</v>
      </c>
      <c r="J10" t="s">
        <v>439</v>
      </c>
    </row>
    <row r="11" spans="1:10" x14ac:dyDescent="0.25">
      <c r="A11" t="s">
        <v>235</v>
      </c>
      <c r="B11" t="s">
        <v>80</v>
      </c>
      <c r="C11" t="s">
        <v>236</v>
      </c>
      <c r="D11" t="s">
        <v>252</v>
      </c>
      <c r="E11" t="s">
        <v>349</v>
      </c>
      <c r="F11" t="s">
        <v>439</v>
      </c>
      <c r="G11" t="s">
        <v>439</v>
      </c>
      <c r="H11" t="s">
        <v>439</v>
      </c>
      <c r="I11" t="s">
        <v>439</v>
      </c>
      <c r="J11" t="s">
        <v>439</v>
      </c>
    </row>
    <row r="12" spans="1:10" x14ac:dyDescent="0.25">
      <c r="A12" t="s">
        <v>235</v>
      </c>
      <c r="B12" t="s">
        <v>80</v>
      </c>
      <c r="C12" t="s">
        <v>236</v>
      </c>
      <c r="D12" t="s">
        <v>253</v>
      </c>
      <c r="E12" t="s">
        <v>350</v>
      </c>
      <c r="F12" t="s">
        <v>439</v>
      </c>
      <c r="G12" t="s">
        <v>439</v>
      </c>
      <c r="H12" t="s">
        <v>439</v>
      </c>
      <c r="I12" t="s">
        <v>439</v>
      </c>
      <c r="J12" t="s">
        <v>439</v>
      </c>
    </row>
    <row r="13" spans="1:10" x14ac:dyDescent="0.25">
      <c r="A13" t="s">
        <v>235</v>
      </c>
      <c r="B13" t="s">
        <v>80</v>
      </c>
      <c r="C13" t="s">
        <v>236</v>
      </c>
      <c r="D13" t="s">
        <v>254</v>
      </c>
      <c r="E13" t="s">
        <v>351</v>
      </c>
      <c r="F13" t="s">
        <v>439</v>
      </c>
      <c r="G13" t="s">
        <v>439</v>
      </c>
      <c r="H13" t="s">
        <v>439</v>
      </c>
      <c r="I13" t="s">
        <v>439</v>
      </c>
      <c r="J13" t="s">
        <v>439</v>
      </c>
    </row>
    <row r="14" spans="1:10" x14ac:dyDescent="0.25">
      <c r="A14" t="s">
        <v>235</v>
      </c>
      <c r="B14" t="s">
        <v>80</v>
      </c>
      <c r="C14" t="s">
        <v>236</v>
      </c>
      <c r="D14" t="s">
        <v>255</v>
      </c>
      <c r="E14" t="s">
        <v>352</v>
      </c>
      <c r="F14" t="s">
        <v>439</v>
      </c>
      <c r="G14" t="s">
        <v>439</v>
      </c>
      <c r="H14" t="s">
        <v>439</v>
      </c>
      <c r="I14" t="s">
        <v>439</v>
      </c>
      <c r="J14" t="s">
        <v>439</v>
      </c>
    </row>
    <row r="15" spans="1:10" x14ac:dyDescent="0.25">
      <c r="A15" t="s">
        <v>235</v>
      </c>
      <c r="B15" t="s">
        <v>80</v>
      </c>
      <c r="C15" t="s">
        <v>236</v>
      </c>
      <c r="D15" t="s">
        <v>243</v>
      </c>
      <c r="E15" t="s">
        <v>353</v>
      </c>
      <c r="F15" t="s">
        <v>439</v>
      </c>
      <c r="G15" t="s">
        <v>439</v>
      </c>
      <c r="H15" t="s">
        <v>439</v>
      </c>
      <c r="I15" t="s">
        <v>439</v>
      </c>
      <c r="J15" t="s">
        <v>439</v>
      </c>
    </row>
    <row r="16" spans="1:10" x14ac:dyDescent="0.25">
      <c r="A16" t="s">
        <v>235</v>
      </c>
      <c r="B16" t="s">
        <v>80</v>
      </c>
      <c r="C16" t="s">
        <v>236</v>
      </c>
      <c r="D16" t="s">
        <v>245</v>
      </c>
      <c r="E16" t="s">
        <v>354</v>
      </c>
      <c r="F16" t="s">
        <v>439</v>
      </c>
      <c r="G16" t="s">
        <v>439</v>
      </c>
      <c r="H16" t="s">
        <v>439</v>
      </c>
      <c r="I16" t="s">
        <v>439</v>
      </c>
      <c r="J16" t="s">
        <v>439</v>
      </c>
    </row>
    <row r="17" spans="1:10" x14ac:dyDescent="0.25">
      <c r="A17" t="s">
        <v>235</v>
      </c>
      <c r="B17" t="s">
        <v>80</v>
      </c>
      <c r="C17" t="s">
        <v>236</v>
      </c>
      <c r="D17" t="s">
        <v>256</v>
      </c>
      <c r="E17" t="s">
        <v>355</v>
      </c>
      <c r="F17" t="s">
        <v>439</v>
      </c>
      <c r="G17" t="s">
        <v>439</v>
      </c>
      <c r="H17" t="s">
        <v>439</v>
      </c>
      <c r="I17" t="s">
        <v>439</v>
      </c>
      <c r="J17" t="s">
        <v>439</v>
      </c>
    </row>
    <row r="18" spans="1:10" x14ac:dyDescent="0.25">
      <c r="A18" t="s">
        <v>235</v>
      </c>
      <c r="B18" t="s">
        <v>80</v>
      </c>
      <c r="C18" t="s">
        <v>236</v>
      </c>
      <c r="D18" t="s">
        <v>257</v>
      </c>
      <c r="E18" t="s">
        <v>356</v>
      </c>
      <c r="F18" t="s">
        <v>439</v>
      </c>
      <c r="G18" t="s">
        <v>439</v>
      </c>
      <c r="H18" t="s">
        <v>439</v>
      </c>
      <c r="I18" t="s">
        <v>439</v>
      </c>
      <c r="J18" t="s">
        <v>439</v>
      </c>
    </row>
    <row r="19" spans="1:10" x14ac:dyDescent="0.25">
      <c r="A19" t="s">
        <v>235</v>
      </c>
      <c r="B19" t="s">
        <v>80</v>
      </c>
      <c r="C19" t="s">
        <v>236</v>
      </c>
      <c r="D19" t="s">
        <v>258</v>
      </c>
      <c r="E19" t="s">
        <v>357</v>
      </c>
      <c r="F19" t="s">
        <v>439</v>
      </c>
      <c r="G19" t="s">
        <v>439</v>
      </c>
      <c r="H19" t="s">
        <v>439</v>
      </c>
      <c r="I19" t="s">
        <v>439</v>
      </c>
      <c r="J19" t="s">
        <v>439</v>
      </c>
    </row>
    <row r="20" spans="1:10" x14ac:dyDescent="0.25">
      <c r="A20" t="s">
        <v>235</v>
      </c>
      <c r="B20" t="s">
        <v>80</v>
      </c>
      <c r="C20" t="s">
        <v>236</v>
      </c>
      <c r="D20" t="s">
        <v>259</v>
      </c>
      <c r="E20" t="s">
        <v>358</v>
      </c>
      <c r="F20" t="s">
        <v>439</v>
      </c>
      <c r="G20" t="s">
        <v>439</v>
      </c>
      <c r="H20" t="s">
        <v>439</v>
      </c>
      <c r="I20" t="s">
        <v>439</v>
      </c>
      <c r="J20" t="s">
        <v>439</v>
      </c>
    </row>
    <row r="21" spans="1:10" x14ac:dyDescent="0.25">
      <c r="A21" t="s">
        <v>235</v>
      </c>
      <c r="B21" t="s">
        <v>80</v>
      </c>
      <c r="C21" t="s">
        <v>236</v>
      </c>
      <c r="D21" t="s">
        <v>260</v>
      </c>
      <c r="E21" t="s">
        <v>359</v>
      </c>
      <c r="F21" t="s">
        <v>439</v>
      </c>
      <c r="G21" t="s">
        <v>439</v>
      </c>
      <c r="H21" t="s">
        <v>439</v>
      </c>
      <c r="I21" t="s">
        <v>439</v>
      </c>
      <c r="J21" t="s">
        <v>439</v>
      </c>
    </row>
    <row r="22" spans="1:10" x14ac:dyDescent="0.25">
      <c r="A22" t="s">
        <v>235</v>
      </c>
      <c r="B22" t="s">
        <v>80</v>
      </c>
      <c r="C22" t="s">
        <v>236</v>
      </c>
      <c r="D22" t="s">
        <v>261</v>
      </c>
      <c r="E22" t="s">
        <v>360</v>
      </c>
      <c r="F22" t="s">
        <v>439</v>
      </c>
      <c r="G22" t="s">
        <v>439</v>
      </c>
      <c r="H22" t="s">
        <v>439</v>
      </c>
      <c r="I22" t="s">
        <v>439</v>
      </c>
      <c r="J22" t="s">
        <v>439</v>
      </c>
    </row>
    <row r="23" spans="1:10" x14ac:dyDescent="0.25">
      <c r="A23" t="s">
        <v>235</v>
      </c>
      <c r="B23" t="s">
        <v>80</v>
      </c>
      <c r="C23" t="s">
        <v>236</v>
      </c>
      <c r="D23" t="s">
        <v>262</v>
      </c>
      <c r="E23" t="s">
        <v>361</v>
      </c>
      <c r="F23" t="s">
        <v>439</v>
      </c>
      <c r="G23" t="s">
        <v>439</v>
      </c>
      <c r="H23" t="s">
        <v>439</v>
      </c>
      <c r="I23" t="s">
        <v>439</v>
      </c>
      <c r="J23" t="s">
        <v>439</v>
      </c>
    </row>
    <row r="24" spans="1:10" x14ac:dyDescent="0.25">
      <c r="A24" t="s">
        <v>235</v>
      </c>
      <c r="B24" t="s">
        <v>80</v>
      </c>
      <c r="C24" t="s">
        <v>236</v>
      </c>
      <c r="D24" t="s">
        <v>263</v>
      </c>
      <c r="E24" t="s">
        <v>362</v>
      </c>
      <c r="F24" t="s">
        <v>439</v>
      </c>
      <c r="G24" t="s">
        <v>439</v>
      </c>
      <c r="H24" t="s">
        <v>439</v>
      </c>
      <c r="I24" t="s">
        <v>439</v>
      </c>
      <c r="J24" t="s">
        <v>439</v>
      </c>
    </row>
    <row r="25" spans="1:10" x14ac:dyDescent="0.25">
      <c r="A25" t="s">
        <v>235</v>
      </c>
      <c r="B25" t="s">
        <v>80</v>
      </c>
      <c r="C25" t="s">
        <v>236</v>
      </c>
      <c r="D25" t="s">
        <v>264</v>
      </c>
      <c r="E25" t="s">
        <v>363</v>
      </c>
      <c r="F25" t="s">
        <v>439</v>
      </c>
      <c r="G25" t="s">
        <v>439</v>
      </c>
      <c r="H25" t="s">
        <v>439</v>
      </c>
      <c r="I25" t="s">
        <v>439</v>
      </c>
      <c r="J25" t="s">
        <v>439</v>
      </c>
    </row>
    <row r="26" spans="1:10" x14ac:dyDescent="0.25">
      <c r="A26" t="s">
        <v>235</v>
      </c>
      <c r="B26" t="s">
        <v>80</v>
      </c>
      <c r="C26" t="s">
        <v>236</v>
      </c>
      <c r="D26" t="s">
        <v>265</v>
      </c>
      <c r="E26" t="s">
        <v>364</v>
      </c>
      <c r="F26" t="s">
        <v>439</v>
      </c>
      <c r="G26" t="s">
        <v>439</v>
      </c>
      <c r="H26" t="s">
        <v>439</v>
      </c>
      <c r="I26" t="s">
        <v>439</v>
      </c>
      <c r="J26" t="s">
        <v>439</v>
      </c>
    </row>
    <row r="27" spans="1:10" x14ac:dyDescent="0.25">
      <c r="A27" t="s">
        <v>235</v>
      </c>
      <c r="B27" t="s">
        <v>80</v>
      </c>
      <c r="C27" t="s">
        <v>236</v>
      </c>
      <c r="D27" t="s">
        <v>266</v>
      </c>
      <c r="E27" t="s">
        <v>365</v>
      </c>
      <c r="F27" t="s">
        <v>439</v>
      </c>
      <c r="G27" t="s">
        <v>439</v>
      </c>
      <c r="H27" t="s">
        <v>439</v>
      </c>
      <c r="I27" t="s">
        <v>439</v>
      </c>
      <c r="J27" t="s">
        <v>439</v>
      </c>
    </row>
    <row r="28" spans="1:10" x14ac:dyDescent="0.25">
      <c r="A28" t="s">
        <v>235</v>
      </c>
      <c r="B28" t="s">
        <v>80</v>
      </c>
      <c r="C28" t="s">
        <v>236</v>
      </c>
      <c r="D28" t="s">
        <v>267</v>
      </c>
      <c r="E28" t="s">
        <v>366</v>
      </c>
      <c r="F28" t="s">
        <v>439</v>
      </c>
      <c r="G28" t="s">
        <v>439</v>
      </c>
      <c r="H28" t="s">
        <v>439</v>
      </c>
      <c r="I28" t="s">
        <v>439</v>
      </c>
      <c r="J28" t="s">
        <v>439</v>
      </c>
    </row>
    <row r="29" spans="1:10" x14ac:dyDescent="0.25">
      <c r="A29" t="s">
        <v>235</v>
      </c>
      <c r="B29" t="s">
        <v>80</v>
      </c>
      <c r="C29" t="s">
        <v>236</v>
      </c>
      <c r="D29" t="s">
        <v>268</v>
      </c>
      <c r="E29" t="s">
        <v>367</v>
      </c>
      <c r="F29" t="s">
        <v>439</v>
      </c>
      <c r="G29" t="s">
        <v>439</v>
      </c>
      <c r="H29" t="s">
        <v>439</v>
      </c>
      <c r="I29" t="s">
        <v>439</v>
      </c>
      <c r="J29" t="s">
        <v>439</v>
      </c>
    </row>
    <row r="30" spans="1:10" x14ac:dyDescent="0.25">
      <c r="A30" t="s">
        <v>235</v>
      </c>
      <c r="B30" t="s">
        <v>80</v>
      </c>
      <c r="C30" t="s">
        <v>236</v>
      </c>
      <c r="D30" t="s">
        <v>269</v>
      </c>
      <c r="E30" t="s">
        <v>368</v>
      </c>
      <c r="F30" t="s">
        <v>439</v>
      </c>
      <c r="G30" t="s">
        <v>439</v>
      </c>
      <c r="H30" t="s">
        <v>439</v>
      </c>
      <c r="I30" t="s">
        <v>439</v>
      </c>
      <c r="J30" t="s">
        <v>439</v>
      </c>
    </row>
    <row r="31" spans="1:10" x14ac:dyDescent="0.25">
      <c r="A31" t="s">
        <v>235</v>
      </c>
      <c r="B31" t="s">
        <v>80</v>
      </c>
      <c r="C31" t="s">
        <v>236</v>
      </c>
      <c r="D31" t="s">
        <v>270</v>
      </c>
      <c r="E31" t="s">
        <v>369</v>
      </c>
      <c r="F31" t="s">
        <v>439</v>
      </c>
      <c r="G31" t="s">
        <v>439</v>
      </c>
      <c r="H31" t="s">
        <v>439</v>
      </c>
      <c r="I31" t="s">
        <v>439</v>
      </c>
      <c r="J31" t="s">
        <v>439</v>
      </c>
    </row>
    <row r="32" spans="1:10" x14ac:dyDescent="0.25">
      <c r="A32" t="s">
        <v>235</v>
      </c>
      <c r="B32" t="s">
        <v>80</v>
      </c>
      <c r="C32" t="s">
        <v>236</v>
      </c>
      <c r="D32" t="s">
        <v>271</v>
      </c>
      <c r="E32" t="s">
        <v>370</v>
      </c>
      <c r="F32" t="s">
        <v>439</v>
      </c>
      <c r="G32" t="s">
        <v>439</v>
      </c>
      <c r="H32" t="s">
        <v>439</v>
      </c>
      <c r="I32" t="s">
        <v>439</v>
      </c>
      <c r="J32" t="s">
        <v>439</v>
      </c>
    </row>
    <row r="33" spans="1:10" x14ac:dyDescent="0.25">
      <c r="A33" t="s">
        <v>235</v>
      </c>
      <c r="B33" t="s">
        <v>80</v>
      </c>
      <c r="C33" t="s">
        <v>236</v>
      </c>
      <c r="D33" t="s">
        <v>272</v>
      </c>
      <c r="E33" t="s">
        <v>371</v>
      </c>
      <c r="F33" t="s">
        <v>439</v>
      </c>
      <c r="G33" t="s">
        <v>439</v>
      </c>
      <c r="H33" t="s">
        <v>439</v>
      </c>
      <c r="I33" t="s">
        <v>439</v>
      </c>
      <c r="J33" t="s">
        <v>439</v>
      </c>
    </row>
    <row r="34" spans="1:10" x14ac:dyDescent="0.25">
      <c r="A34" t="s">
        <v>235</v>
      </c>
      <c r="B34" t="s">
        <v>80</v>
      </c>
      <c r="C34" t="s">
        <v>236</v>
      </c>
      <c r="D34" t="s">
        <v>273</v>
      </c>
      <c r="E34" t="s">
        <v>372</v>
      </c>
      <c r="F34" t="s">
        <v>439</v>
      </c>
      <c r="G34" t="s">
        <v>439</v>
      </c>
      <c r="H34" t="s">
        <v>439</v>
      </c>
      <c r="I34" t="s">
        <v>439</v>
      </c>
      <c r="J34" t="s">
        <v>439</v>
      </c>
    </row>
    <row r="35" spans="1:10" x14ac:dyDescent="0.25">
      <c r="A35" t="s">
        <v>235</v>
      </c>
      <c r="B35" t="s">
        <v>80</v>
      </c>
      <c r="C35" t="s">
        <v>236</v>
      </c>
      <c r="D35" t="s">
        <v>274</v>
      </c>
      <c r="E35" t="s">
        <v>373</v>
      </c>
      <c r="F35" t="s">
        <v>439</v>
      </c>
      <c r="G35" t="s">
        <v>439</v>
      </c>
      <c r="H35" t="s">
        <v>439</v>
      </c>
      <c r="I35" t="s">
        <v>439</v>
      </c>
      <c r="J35" t="s">
        <v>439</v>
      </c>
    </row>
    <row r="36" spans="1:10" x14ac:dyDescent="0.25">
      <c r="A36" t="s">
        <v>235</v>
      </c>
      <c r="B36" t="s">
        <v>80</v>
      </c>
      <c r="C36" t="s">
        <v>236</v>
      </c>
      <c r="D36" t="s">
        <v>275</v>
      </c>
      <c r="E36" t="s">
        <v>374</v>
      </c>
      <c r="F36" t="s">
        <v>439</v>
      </c>
      <c r="G36" t="s">
        <v>439</v>
      </c>
      <c r="H36" t="s">
        <v>439</v>
      </c>
      <c r="I36" t="s">
        <v>439</v>
      </c>
      <c r="J36" t="s">
        <v>439</v>
      </c>
    </row>
    <row r="37" spans="1:10" x14ac:dyDescent="0.25">
      <c r="A37" t="s">
        <v>235</v>
      </c>
      <c r="B37" t="s">
        <v>80</v>
      </c>
      <c r="C37" t="s">
        <v>236</v>
      </c>
      <c r="D37" t="s">
        <v>276</v>
      </c>
      <c r="E37" t="s">
        <v>375</v>
      </c>
      <c r="F37" t="s">
        <v>439</v>
      </c>
      <c r="G37" t="s">
        <v>439</v>
      </c>
      <c r="H37" t="s">
        <v>439</v>
      </c>
      <c r="I37" t="s">
        <v>439</v>
      </c>
      <c r="J37" t="s">
        <v>439</v>
      </c>
    </row>
    <row r="38" spans="1:10" x14ac:dyDescent="0.25">
      <c r="A38" t="s">
        <v>235</v>
      </c>
      <c r="B38" t="s">
        <v>80</v>
      </c>
      <c r="C38" t="s">
        <v>236</v>
      </c>
      <c r="D38" t="s">
        <v>277</v>
      </c>
      <c r="E38" t="s">
        <v>376</v>
      </c>
      <c r="F38" t="s">
        <v>439</v>
      </c>
      <c r="G38" t="s">
        <v>439</v>
      </c>
      <c r="H38" t="s">
        <v>439</v>
      </c>
      <c r="I38" t="s">
        <v>439</v>
      </c>
      <c r="J38" t="s">
        <v>439</v>
      </c>
    </row>
    <row r="39" spans="1:10" x14ac:dyDescent="0.25">
      <c r="A39" t="s">
        <v>235</v>
      </c>
      <c r="B39" t="s">
        <v>80</v>
      </c>
      <c r="C39" t="s">
        <v>236</v>
      </c>
      <c r="D39" t="s">
        <v>278</v>
      </c>
      <c r="E39" t="s">
        <v>377</v>
      </c>
      <c r="F39" t="s">
        <v>439</v>
      </c>
      <c r="G39" t="s">
        <v>439</v>
      </c>
      <c r="H39" t="s">
        <v>439</v>
      </c>
      <c r="I39" t="s">
        <v>439</v>
      </c>
      <c r="J39" t="s">
        <v>439</v>
      </c>
    </row>
    <row r="40" spans="1:10" x14ac:dyDescent="0.25">
      <c r="A40" t="s">
        <v>235</v>
      </c>
      <c r="B40" t="s">
        <v>80</v>
      </c>
      <c r="C40" t="s">
        <v>236</v>
      </c>
      <c r="D40" t="s">
        <v>279</v>
      </c>
      <c r="E40" t="s">
        <v>378</v>
      </c>
      <c r="F40" t="s">
        <v>439</v>
      </c>
      <c r="G40" t="s">
        <v>439</v>
      </c>
      <c r="H40" t="s">
        <v>439</v>
      </c>
      <c r="I40" t="s">
        <v>439</v>
      </c>
      <c r="J40" t="s">
        <v>439</v>
      </c>
    </row>
    <row r="41" spans="1:10" x14ac:dyDescent="0.25">
      <c r="A41" t="s">
        <v>235</v>
      </c>
      <c r="B41" t="s">
        <v>80</v>
      </c>
      <c r="C41" t="s">
        <v>236</v>
      </c>
      <c r="D41" t="s">
        <v>280</v>
      </c>
      <c r="E41" t="s">
        <v>379</v>
      </c>
      <c r="F41" t="s">
        <v>439</v>
      </c>
      <c r="G41" t="s">
        <v>439</v>
      </c>
      <c r="H41" t="s">
        <v>439</v>
      </c>
      <c r="I41" t="s">
        <v>439</v>
      </c>
      <c r="J41" t="s">
        <v>439</v>
      </c>
    </row>
    <row r="42" spans="1:10" x14ac:dyDescent="0.25">
      <c r="A42" t="s">
        <v>235</v>
      </c>
      <c r="B42" t="s">
        <v>80</v>
      </c>
      <c r="C42" t="s">
        <v>236</v>
      </c>
      <c r="D42" t="s">
        <v>281</v>
      </c>
      <c r="E42" t="s">
        <v>380</v>
      </c>
      <c r="F42" t="s">
        <v>439</v>
      </c>
      <c r="G42" t="s">
        <v>439</v>
      </c>
      <c r="H42" t="s">
        <v>439</v>
      </c>
      <c r="I42" t="s">
        <v>439</v>
      </c>
      <c r="J42" t="s">
        <v>439</v>
      </c>
    </row>
    <row r="43" spans="1:10" x14ac:dyDescent="0.25">
      <c r="A43" t="s">
        <v>235</v>
      </c>
      <c r="B43" t="s">
        <v>80</v>
      </c>
      <c r="C43" t="s">
        <v>236</v>
      </c>
      <c r="D43" t="s">
        <v>282</v>
      </c>
      <c r="E43" t="s">
        <v>381</v>
      </c>
      <c r="F43" t="s">
        <v>439</v>
      </c>
      <c r="G43" t="s">
        <v>439</v>
      </c>
      <c r="H43" t="s">
        <v>439</v>
      </c>
      <c r="I43" t="s">
        <v>439</v>
      </c>
      <c r="J43" t="s">
        <v>439</v>
      </c>
    </row>
    <row r="44" spans="1:10" x14ac:dyDescent="0.25">
      <c r="A44" t="s">
        <v>235</v>
      </c>
      <c r="B44" t="s">
        <v>80</v>
      </c>
      <c r="C44" t="s">
        <v>236</v>
      </c>
      <c r="D44" t="s">
        <v>283</v>
      </c>
      <c r="E44" t="s">
        <v>382</v>
      </c>
      <c r="F44" t="s">
        <v>439</v>
      </c>
      <c r="G44" t="s">
        <v>439</v>
      </c>
      <c r="H44" t="s">
        <v>439</v>
      </c>
      <c r="I44" t="s">
        <v>439</v>
      </c>
      <c r="J44" t="s">
        <v>439</v>
      </c>
    </row>
    <row r="45" spans="1:10" x14ac:dyDescent="0.25">
      <c r="A45" t="s">
        <v>235</v>
      </c>
      <c r="B45" t="s">
        <v>80</v>
      </c>
      <c r="C45" t="s">
        <v>236</v>
      </c>
      <c r="D45" t="s">
        <v>284</v>
      </c>
      <c r="E45" t="s">
        <v>383</v>
      </c>
      <c r="F45" t="s">
        <v>439</v>
      </c>
      <c r="G45" t="s">
        <v>439</v>
      </c>
      <c r="H45" t="s">
        <v>439</v>
      </c>
      <c r="I45" t="s">
        <v>439</v>
      </c>
      <c r="J45" t="s">
        <v>439</v>
      </c>
    </row>
    <row r="46" spans="1:10" x14ac:dyDescent="0.25">
      <c r="A46" t="s">
        <v>235</v>
      </c>
      <c r="B46" t="s">
        <v>80</v>
      </c>
      <c r="C46" t="s">
        <v>236</v>
      </c>
      <c r="D46" t="s">
        <v>285</v>
      </c>
      <c r="E46" t="s">
        <v>384</v>
      </c>
      <c r="F46" t="s">
        <v>439</v>
      </c>
      <c r="G46" t="s">
        <v>439</v>
      </c>
      <c r="H46" t="s">
        <v>439</v>
      </c>
      <c r="I46" t="s">
        <v>439</v>
      </c>
      <c r="J46" t="s">
        <v>439</v>
      </c>
    </row>
    <row r="47" spans="1:10" x14ac:dyDescent="0.25">
      <c r="A47" t="s">
        <v>235</v>
      </c>
      <c r="B47" t="s">
        <v>80</v>
      </c>
      <c r="C47" t="s">
        <v>236</v>
      </c>
      <c r="D47" t="s">
        <v>286</v>
      </c>
      <c r="E47" t="s">
        <v>385</v>
      </c>
      <c r="F47" t="s">
        <v>439</v>
      </c>
      <c r="G47" t="s">
        <v>439</v>
      </c>
      <c r="H47" t="s">
        <v>439</v>
      </c>
      <c r="I47" t="s">
        <v>439</v>
      </c>
      <c r="J47" t="s">
        <v>439</v>
      </c>
    </row>
    <row r="48" spans="1:10" x14ac:dyDescent="0.25">
      <c r="A48" t="s">
        <v>235</v>
      </c>
      <c r="B48" t="s">
        <v>80</v>
      </c>
      <c r="C48" t="s">
        <v>236</v>
      </c>
      <c r="D48" t="s">
        <v>287</v>
      </c>
      <c r="E48" t="s">
        <v>386</v>
      </c>
      <c r="F48" t="s">
        <v>439</v>
      </c>
      <c r="G48" t="s">
        <v>439</v>
      </c>
      <c r="H48" t="s">
        <v>439</v>
      </c>
      <c r="I48" t="s">
        <v>439</v>
      </c>
      <c r="J48" t="s">
        <v>439</v>
      </c>
    </row>
    <row r="49" spans="1:10" x14ac:dyDescent="0.25">
      <c r="A49" t="s">
        <v>235</v>
      </c>
      <c r="B49" t="s">
        <v>80</v>
      </c>
      <c r="C49" t="s">
        <v>237</v>
      </c>
      <c r="D49" t="s">
        <v>288</v>
      </c>
      <c r="E49" t="s">
        <v>289</v>
      </c>
      <c r="F49" t="s">
        <v>439</v>
      </c>
      <c r="G49" t="s">
        <v>439</v>
      </c>
      <c r="H49" t="s">
        <v>439</v>
      </c>
      <c r="I49" t="s">
        <v>439</v>
      </c>
      <c r="J49" t="s">
        <v>439</v>
      </c>
    </row>
    <row r="50" spans="1:10" x14ac:dyDescent="0.25">
      <c r="A50" t="s">
        <v>235</v>
      </c>
      <c r="B50" t="s">
        <v>80</v>
      </c>
      <c r="C50" t="s">
        <v>237</v>
      </c>
      <c r="D50" t="s">
        <v>290</v>
      </c>
      <c r="E50" t="s">
        <v>291</v>
      </c>
      <c r="F50" t="s">
        <v>393</v>
      </c>
    </row>
    <row r="51" spans="1:10" x14ac:dyDescent="0.25">
      <c r="A51" t="s">
        <v>235</v>
      </c>
      <c r="B51" t="s">
        <v>80</v>
      </c>
      <c r="C51" t="s">
        <v>237</v>
      </c>
      <c r="D51" t="s">
        <v>292</v>
      </c>
      <c r="E51" t="s">
        <v>293</v>
      </c>
      <c r="F51" t="s">
        <v>393</v>
      </c>
    </row>
    <row r="52" spans="1:10" x14ac:dyDescent="0.25">
      <c r="A52" t="s">
        <v>235</v>
      </c>
      <c r="B52" t="s">
        <v>80</v>
      </c>
      <c r="C52" t="s">
        <v>237</v>
      </c>
      <c r="D52" t="s">
        <v>294</v>
      </c>
      <c r="E52" t="s">
        <v>295</v>
      </c>
      <c r="F52" t="s">
        <v>393</v>
      </c>
    </row>
    <row r="53" spans="1:10" x14ac:dyDescent="0.25">
      <c r="A53" t="s">
        <v>235</v>
      </c>
      <c r="B53" t="s">
        <v>80</v>
      </c>
      <c r="C53" t="s">
        <v>237</v>
      </c>
      <c r="D53" t="s">
        <v>296</v>
      </c>
      <c r="E53" t="s">
        <v>297</v>
      </c>
      <c r="F53" t="s">
        <v>393</v>
      </c>
    </row>
    <row r="54" spans="1:10" x14ac:dyDescent="0.25">
      <c r="A54" t="s">
        <v>235</v>
      </c>
      <c r="B54" t="s">
        <v>80</v>
      </c>
      <c r="C54" t="s">
        <v>237</v>
      </c>
      <c r="D54" t="s">
        <v>298</v>
      </c>
      <c r="E54" t="s">
        <v>299</v>
      </c>
      <c r="F54" t="s">
        <v>393</v>
      </c>
    </row>
    <row r="55" spans="1:10" x14ac:dyDescent="0.25">
      <c r="A55" t="s">
        <v>235</v>
      </c>
      <c r="B55" t="s">
        <v>80</v>
      </c>
      <c r="C55" t="s">
        <v>237</v>
      </c>
      <c r="D55" t="s">
        <v>300</v>
      </c>
      <c r="E55" t="s">
        <v>301</v>
      </c>
      <c r="F55" t="s">
        <v>393</v>
      </c>
    </row>
    <row r="56" spans="1:10" x14ac:dyDescent="0.25">
      <c r="A56" t="s">
        <v>235</v>
      </c>
      <c r="B56" t="s">
        <v>80</v>
      </c>
      <c r="C56" t="s">
        <v>237</v>
      </c>
      <c r="D56" t="s">
        <v>302</v>
      </c>
      <c r="E56" t="s">
        <v>303</v>
      </c>
      <c r="F56" t="s">
        <v>393</v>
      </c>
    </row>
    <row r="57" spans="1:10" x14ac:dyDescent="0.25">
      <c r="A57" t="s">
        <v>235</v>
      </c>
      <c r="B57" t="s">
        <v>80</v>
      </c>
      <c r="C57" t="s">
        <v>237</v>
      </c>
      <c r="D57" t="s">
        <v>304</v>
      </c>
      <c r="E57" t="s">
        <v>305</v>
      </c>
      <c r="F57" t="s">
        <v>393</v>
      </c>
    </row>
    <row r="58" spans="1:10" x14ac:dyDescent="0.25">
      <c r="A58" t="s">
        <v>235</v>
      </c>
      <c r="B58" t="s">
        <v>80</v>
      </c>
      <c r="C58" t="s">
        <v>237</v>
      </c>
      <c r="D58" t="s">
        <v>306</v>
      </c>
      <c r="E58" t="s">
        <v>307</v>
      </c>
      <c r="F58" t="s">
        <v>393</v>
      </c>
    </row>
    <row r="59" spans="1:10" x14ac:dyDescent="0.25">
      <c r="A59" t="s">
        <v>235</v>
      </c>
      <c r="B59" t="s">
        <v>80</v>
      </c>
      <c r="C59" t="s">
        <v>237</v>
      </c>
      <c r="D59" t="s">
        <v>308</v>
      </c>
      <c r="E59" t="s">
        <v>309</v>
      </c>
      <c r="F59" t="s">
        <v>393</v>
      </c>
    </row>
    <row r="60" spans="1:10" x14ac:dyDescent="0.25">
      <c r="A60" t="s">
        <v>235</v>
      </c>
      <c r="B60" t="s">
        <v>80</v>
      </c>
      <c r="C60" t="s">
        <v>237</v>
      </c>
      <c r="D60" t="s">
        <v>310</v>
      </c>
      <c r="E60" t="s">
        <v>311</v>
      </c>
      <c r="F60" t="s">
        <v>393</v>
      </c>
    </row>
    <row r="61" spans="1:10" x14ac:dyDescent="0.25">
      <c r="A61" t="s">
        <v>235</v>
      </c>
      <c r="B61" t="s">
        <v>80</v>
      </c>
      <c r="C61" t="s">
        <v>237</v>
      </c>
      <c r="D61" t="s">
        <v>312</v>
      </c>
      <c r="E61" t="s">
        <v>313</v>
      </c>
      <c r="F61" t="s">
        <v>393</v>
      </c>
    </row>
    <row r="62" spans="1:10" x14ac:dyDescent="0.25">
      <c r="A62" t="s">
        <v>235</v>
      </c>
      <c r="B62" t="s">
        <v>80</v>
      </c>
      <c r="C62" t="s">
        <v>237</v>
      </c>
      <c r="D62" t="s">
        <v>314</v>
      </c>
      <c r="E62" t="s">
        <v>315</v>
      </c>
      <c r="F62" t="s">
        <v>393</v>
      </c>
    </row>
    <row r="63" spans="1:10" x14ac:dyDescent="0.25">
      <c r="A63" t="s">
        <v>235</v>
      </c>
      <c r="B63" t="s">
        <v>80</v>
      </c>
      <c r="C63" t="s">
        <v>237</v>
      </c>
      <c r="D63" t="s">
        <v>316</v>
      </c>
      <c r="E63" t="s">
        <v>317</v>
      </c>
      <c r="F63" t="s">
        <v>393</v>
      </c>
    </row>
    <row r="64" spans="1:10" x14ac:dyDescent="0.25">
      <c r="A64" t="s">
        <v>235</v>
      </c>
      <c r="B64" t="s">
        <v>80</v>
      </c>
      <c r="C64" t="s">
        <v>237</v>
      </c>
      <c r="D64" t="s">
        <v>318</v>
      </c>
      <c r="E64" t="s">
        <v>319</v>
      </c>
      <c r="F64" t="s">
        <v>393</v>
      </c>
    </row>
    <row r="65" spans="1:10" x14ac:dyDescent="0.25">
      <c r="A65" t="s">
        <v>235</v>
      </c>
      <c r="B65" t="s">
        <v>80</v>
      </c>
      <c r="C65" t="s">
        <v>237</v>
      </c>
      <c r="D65" t="s">
        <v>320</v>
      </c>
      <c r="E65" t="s">
        <v>321</v>
      </c>
      <c r="F65" t="s">
        <v>393</v>
      </c>
    </row>
    <row r="66" spans="1:10" x14ac:dyDescent="0.25">
      <c r="A66" t="s">
        <v>235</v>
      </c>
      <c r="B66" t="s">
        <v>80</v>
      </c>
      <c r="C66" t="s">
        <v>237</v>
      </c>
      <c r="D66" t="s">
        <v>322</v>
      </c>
      <c r="E66" t="s">
        <v>323</v>
      </c>
      <c r="F66" t="s">
        <v>439</v>
      </c>
    </row>
    <row r="67" spans="1:10" x14ac:dyDescent="0.25">
      <c r="A67" t="s">
        <v>235</v>
      </c>
      <c r="B67" t="s">
        <v>80</v>
      </c>
      <c r="C67" t="s">
        <v>237</v>
      </c>
      <c r="D67" t="s">
        <v>324</v>
      </c>
      <c r="E67" t="s">
        <v>325</v>
      </c>
      <c r="F67" t="s">
        <v>439</v>
      </c>
    </row>
    <row r="68" spans="1:10" x14ac:dyDescent="0.25">
      <c r="A68" t="s">
        <v>235</v>
      </c>
      <c r="B68" t="s">
        <v>80</v>
      </c>
      <c r="C68" t="s">
        <v>237</v>
      </c>
      <c r="D68" t="s">
        <v>326</v>
      </c>
      <c r="E68" t="s">
        <v>327</v>
      </c>
      <c r="F68" t="s">
        <v>439</v>
      </c>
    </row>
    <row r="69" spans="1:10" x14ac:dyDescent="0.25">
      <c r="A69" t="s">
        <v>235</v>
      </c>
      <c r="B69" t="s">
        <v>80</v>
      </c>
      <c r="C69" t="s">
        <v>237</v>
      </c>
      <c r="D69" t="s">
        <v>328</v>
      </c>
      <c r="E69" t="s">
        <v>329</v>
      </c>
      <c r="F69" t="s">
        <v>439</v>
      </c>
      <c r="G69" t="s">
        <v>439</v>
      </c>
      <c r="H69" t="s">
        <v>439</v>
      </c>
      <c r="I69" t="s">
        <v>439</v>
      </c>
      <c r="J69" t="s">
        <v>439</v>
      </c>
    </row>
    <row r="70" spans="1:10" x14ac:dyDescent="0.25">
      <c r="A70" t="s">
        <v>235</v>
      </c>
      <c r="B70" t="s">
        <v>80</v>
      </c>
      <c r="C70" t="s">
        <v>237</v>
      </c>
      <c r="D70" t="s">
        <v>330</v>
      </c>
      <c r="E70" t="s">
        <v>331</v>
      </c>
      <c r="F70" t="s">
        <v>439</v>
      </c>
      <c r="G70" t="s">
        <v>439</v>
      </c>
      <c r="H70" t="s">
        <v>439</v>
      </c>
      <c r="I70" t="s">
        <v>439</v>
      </c>
      <c r="J70" t="s">
        <v>439</v>
      </c>
    </row>
    <row r="71" spans="1:10" x14ac:dyDescent="0.25">
      <c r="A71" t="s">
        <v>235</v>
      </c>
      <c r="B71" t="s">
        <v>80</v>
      </c>
      <c r="C71" t="s">
        <v>237</v>
      </c>
      <c r="D71" t="s">
        <v>332</v>
      </c>
      <c r="E71" t="s">
        <v>333</v>
      </c>
      <c r="F71" t="s">
        <v>439</v>
      </c>
      <c r="G71" t="s">
        <v>439</v>
      </c>
      <c r="H71" t="s">
        <v>439</v>
      </c>
      <c r="I71" t="s">
        <v>439</v>
      </c>
      <c r="J71" t="s">
        <v>439</v>
      </c>
    </row>
    <row r="72" spans="1:10" x14ac:dyDescent="0.25">
      <c r="A72" t="s">
        <v>235</v>
      </c>
      <c r="B72" t="s">
        <v>80</v>
      </c>
      <c r="C72" t="s">
        <v>237</v>
      </c>
      <c r="D72" t="s">
        <v>334</v>
      </c>
      <c r="E72" t="s">
        <v>335</v>
      </c>
      <c r="F72" t="s">
        <v>439</v>
      </c>
      <c r="G72" t="s">
        <v>439</v>
      </c>
      <c r="H72" t="s">
        <v>439</v>
      </c>
      <c r="I72" t="s">
        <v>439</v>
      </c>
      <c r="J72" t="s">
        <v>439</v>
      </c>
    </row>
    <row r="73" spans="1:10" x14ac:dyDescent="0.25">
      <c r="A73" t="s">
        <v>235</v>
      </c>
      <c r="B73" t="s">
        <v>80</v>
      </c>
      <c r="C73" t="s">
        <v>237</v>
      </c>
      <c r="D73" t="s">
        <v>336</v>
      </c>
      <c r="E73" t="s">
        <v>337</v>
      </c>
      <c r="F73" t="s">
        <v>439</v>
      </c>
      <c r="G73" t="s">
        <v>439</v>
      </c>
      <c r="H73" t="s">
        <v>439</v>
      </c>
      <c r="I73" t="s">
        <v>439</v>
      </c>
      <c r="J73" t="s">
        <v>439</v>
      </c>
    </row>
    <row r="74" spans="1:10" x14ac:dyDescent="0.25">
      <c r="A74" t="s">
        <v>235</v>
      </c>
      <c r="B74" t="s">
        <v>80</v>
      </c>
      <c r="C74" t="s">
        <v>237</v>
      </c>
      <c r="D74" t="s">
        <v>338</v>
      </c>
      <c r="E74" t="s">
        <v>339</v>
      </c>
      <c r="F74" t="s">
        <v>439</v>
      </c>
      <c r="G74" t="s">
        <v>439</v>
      </c>
      <c r="H74" t="s">
        <v>439</v>
      </c>
      <c r="I74" t="s">
        <v>439</v>
      </c>
      <c r="J74" t="s">
        <v>439</v>
      </c>
    </row>
    <row r="75" spans="1:10" x14ac:dyDescent="0.25">
      <c r="A75" t="s">
        <v>235</v>
      </c>
      <c r="B75" t="s">
        <v>80</v>
      </c>
      <c r="C75" t="s">
        <v>240</v>
      </c>
      <c r="D75" t="s">
        <v>389</v>
      </c>
      <c r="E75" t="s">
        <v>390</v>
      </c>
      <c r="F75" t="s">
        <v>439</v>
      </c>
      <c r="G75" t="s">
        <v>439</v>
      </c>
      <c r="H75" t="s">
        <v>439</v>
      </c>
      <c r="I75" t="s">
        <v>439</v>
      </c>
      <c r="J75" t="s">
        <v>397</v>
      </c>
    </row>
    <row r="76" spans="1:10" x14ac:dyDescent="0.25">
      <c r="A76" t="s">
        <v>235</v>
      </c>
      <c r="B76" t="s">
        <v>80</v>
      </c>
      <c r="C76" t="s">
        <v>240</v>
      </c>
      <c r="D76" t="s">
        <v>391</v>
      </c>
      <c r="E76" t="s">
        <v>392</v>
      </c>
      <c r="F76" t="s">
        <v>393</v>
      </c>
      <c r="G76" t="s">
        <v>394</v>
      </c>
      <c r="H76" t="s">
        <v>395</v>
      </c>
      <c r="I76" t="s">
        <v>396</v>
      </c>
      <c r="J76" t="s">
        <v>440</v>
      </c>
    </row>
    <row r="77" spans="1:10" x14ac:dyDescent="0.25">
      <c r="A77" t="s">
        <v>235</v>
      </c>
      <c r="B77" t="s">
        <v>80</v>
      </c>
      <c r="C77" t="s">
        <v>240</v>
      </c>
      <c r="D77" t="s">
        <v>398</v>
      </c>
      <c r="E77" t="s">
        <v>425</v>
      </c>
      <c r="F77" t="s">
        <v>393</v>
      </c>
      <c r="G77" t="s">
        <v>401</v>
      </c>
      <c r="H77" t="s">
        <v>395</v>
      </c>
      <c r="I77" t="s">
        <v>405</v>
      </c>
      <c r="J77" t="s">
        <v>423</v>
      </c>
    </row>
    <row r="78" spans="1:10" x14ac:dyDescent="0.25">
      <c r="A78" t="s">
        <v>235</v>
      </c>
      <c r="B78" t="s">
        <v>80</v>
      </c>
      <c r="C78" t="s">
        <v>240</v>
      </c>
      <c r="D78" t="s">
        <v>399</v>
      </c>
      <c r="E78" t="s">
        <v>426</v>
      </c>
      <c r="F78" t="s">
        <v>393</v>
      </c>
      <c r="G78" t="s">
        <v>394</v>
      </c>
      <c r="H78" t="s">
        <v>395</v>
      </c>
      <c r="I78" t="s">
        <v>406</v>
      </c>
      <c r="J78" t="s">
        <v>423</v>
      </c>
    </row>
    <row r="79" spans="1:10" x14ac:dyDescent="0.25">
      <c r="A79" t="s">
        <v>235</v>
      </c>
      <c r="B79" t="s">
        <v>80</v>
      </c>
      <c r="C79" t="s">
        <v>240</v>
      </c>
      <c r="D79" t="s">
        <v>400</v>
      </c>
      <c r="E79" t="s">
        <v>427</v>
      </c>
      <c r="F79" t="s">
        <v>393</v>
      </c>
      <c r="G79" t="s">
        <v>394</v>
      </c>
      <c r="H79" t="s">
        <v>395</v>
      </c>
      <c r="I79" t="s">
        <v>407</v>
      </c>
      <c r="J79" t="s">
        <v>423</v>
      </c>
    </row>
    <row r="80" spans="1:10" x14ac:dyDescent="0.25">
      <c r="A80" t="s">
        <v>235</v>
      </c>
      <c r="B80" t="s">
        <v>80</v>
      </c>
      <c r="C80" t="s">
        <v>240</v>
      </c>
      <c r="D80" t="s">
        <v>418</v>
      </c>
      <c r="E80" t="s">
        <v>413</v>
      </c>
      <c r="F80" t="s">
        <v>393</v>
      </c>
      <c r="G80" t="s">
        <v>401</v>
      </c>
      <c r="H80" t="s">
        <v>401</v>
      </c>
      <c r="I80" t="s">
        <v>408</v>
      </c>
      <c r="J80" t="s">
        <v>439</v>
      </c>
    </row>
    <row r="81" spans="1:10" x14ac:dyDescent="0.25">
      <c r="A81" t="s">
        <v>235</v>
      </c>
      <c r="B81" t="s">
        <v>80</v>
      </c>
      <c r="C81" t="s">
        <v>240</v>
      </c>
      <c r="D81" t="s">
        <v>419</v>
      </c>
      <c r="E81" t="s">
        <v>414</v>
      </c>
      <c r="F81" t="s">
        <v>393</v>
      </c>
      <c r="G81" t="s">
        <v>401</v>
      </c>
      <c r="H81" t="s">
        <v>401</v>
      </c>
      <c r="I81" t="s">
        <v>409</v>
      </c>
      <c r="J81" t="s">
        <v>439</v>
      </c>
    </row>
    <row r="82" spans="1:10" x14ac:dyDescent="0.25">
      <c r="A82" t="s">
        <v>235</v>
      </c>
      <c r="B82" t="s">
        <v>80</v>
      </c>
      <c r="C82" t="s">
        <v>240</v>
      </c>
      <c r="D82" t="s">
        <v>420</v>
      </c>
      <c r="E82" t="s">
        <v>415</v>
      </c>
      <c r="F82" t="s">
        <v>393</v>
      </c>
      <c r="G82" t="s">
        <v>401</v>
      </c>
      <c r="H82" t="s">
        <v>401</v>
      </c>
      <c r="I82" t="s">
        <v>410</v>
      </c>
      <c r="J82" t="s">
        <v>439</v>
      </c>
    </row>
    <row r="83" spans="1:10" x14ac:dyDescent="0.25">
      <c r="A83" t="s">
        <v>235</v>
      </c>
      <c r="B83" t="s">
        <v>80</v>
      </c>
      <c r="C83" t="s">
        <v>240</v>
      </c>
      <c r="D83" t="s">
        <v>421</v>
      </c>
      <c r="E83" t="s">
        <v>416</v>
      </c>
      <c r="F83" t="s">
        <v>393</v>
      </c>
      <c r="G83" t="s">
        <v>401</v>
      </c>
      <c r="H83" t="s">
        <v>401</v>
      </c>
      <c r="I83" t="s">
        <v>411</v>
      </c>
      <c r="J83" t="s">
        <v>439</v>
      </c>
    </row>
    <row r="84" spans="1:10" x14ac:dyDescent="0.25">
      <c r="A84" t="s">
        <v>235</v>
      </c>
      <c r="B84" t="s">
        <v>80</v>
      </c>
      <c r="C84" t="s">
        <v>240</v>
      </c>
      <c r="D84" t="s">
        <v>422</v>
      </c>
      <c r="E84" t="s">
        <v>417</v>
      </c>
      <c r="F84" t="s">
        <v>393</v>
      </c>
      <c r="G84" t="s">
        <v>401</v>
      </c>
      <c r="H84" t="s">
        <v>401</v>
      </c>
      <c r="I84" t="s">
        <v>412</v>
      </c>
      <c r="J84" t="s">
        <v>439</v>
      </c>
    </row>
    <row r="85" spans="1:10" x14ac:dyDescent="0.25">
      <c r="A85" t="s">
        <v>235</v>
      </c>
      <c r="B85" t="s">
        <v>80</v>
      </c>
      <c r="C85" t="s">
        <v>240</v>
      </c>
      <c r="D85" t="s">
        <v>428</v>
      </c>
      <c r="E85" t="s">
        <v>429</v>
      </c>
      <c r="F85" t="s">
        <v>393</v>
      </c>
      <c r="G85" t="s">
        <v>394</v>
      </c>
      <c r="H85" t="s">
        <v>402</v>
      </c>
      <c r="I85" t="s">
        <v>430</v>
      </c>
      <c r="J85" t="s">
        <v>439</v>
      </c>
    </row>
    <row r="86" spans="1:10" x14ac:dyDescent="0.25">
      <c r="A86" t="s">
        <v>235</v>
      </c>
      <c r="B86" t="s">
        <v>80</v>
      </c>
      <c r="C86" t="s">
        <v>240</v>
      </c>
      <c r="D86" t="s">
        <v>436</v>
      </c>
      <c r="E86" t="s">
        <v>433</v>
      </c>
      <c r="F86" t="s">
        <v>393</v>
      </c>
      <c r="G86" t="s">
        <v>394</v>
      </c>
      <c r="H86" t="s">
        <v>403</v>
      </c>
      <c r="I86" t="s">
        <v>430</v>
      </c>
      <c r="J86" t="s">
        <v>439</v>
      </c>
    </row>
    <row r="87" spans="1:10" x14ac:dyDescent="0.25">
      <c r="A87" t="s">
        <v>235</v>
      </c>
      <c r="B87" t="s">
        <v>80</v>
      </c>
      <c r="C87" t="s">
        <v>240</v>
      </c>
      <c r="D87" t="s">
        <v>437</v>
      </c>
      <c r="E87" t="s">
        <v>434</v>
      </c>
      <c r="F87" t="s">
        <v>393</v>
      </c>
      <c r="G87" t="s">
        <v>394</v>
      </c>
      <c r="H87" t="s">
        <v>403</v>
      </c>
      <c r="I87" t="s">
        <v>431</v>
      </c>
      <c r="J87" t="s">
        <v>439</v>
      </c>
    </row>
    <row r="88" spans="1:10" x14ac:dyDescent="0.25">
      <c r="A88" t="s">
        <v>235</v>
      </c>
      <c r="B88" t="s">
        <v>80</v>
      </c>
      <c r="C88" t="s">
        <v>240</v>
      </c>
      <c r="D88" t="s">
        <v>438</v>
      </c>
      <c r="E88" t="s">
        <v>435</v>
      </c>
      <c r="F88" t="s">
        <v>393</v>
      </c>
      <c r="G88" t="s">
        <v>394</v>
      </c>
      <c r="H88" t="s">
        <v>403</v>
      </c>
      <c r="I88" t="s">
        <v>432</v>
      </c>
      <c r="J88" t="s">
        <v>439</v>
      </c>
    </row>
    <row r="89" spans="1:10" x14ac:dyDescent="0.25">
      <c r="A89" t="s">
        <v>235</v>
      </c>
      <c r="B89" t="s">
        <v>80</v>
      </c>
      <c r="C89" t="s">
        <v>240</v>
      </c>
      <c r="D89" t="s">
        <v>328</v>
      </c>
      <c r="E89" t="s">
        <v>329</v>
      </c>
      <c r="F89" t="s">
        <v>439</v>
      </c>
      <c r="G89" t="s">
        <v>439</v>
      </c>
      <c r="H89" t="s">
        <v>439</v>
      </c>
      <c r="I89" t="s">
        <v>439</v>
      </c>
      <c r="J89" t="s">
        <v>439</v>
      </c>
    </row>
    <row r="90" spans="1:10" x14ac:dyDescent="0.25">
      <c r="A90" t="s">
        <v>235</v>
      </c>
      <c r="B90" t="s">
        <v>80</v>
      </c>
      <c r="C90" t="s">
        <v>240</v>
      </c>
      <c r="D90" t="s">
        <v>330</v>
      </c>
      <c r="E90" t="s">
        <v>331</v>
      </c>
      <c r="F90" t="s">
        <v>439</v>
      </c>
      <c r="G90" t="s">
        <v>439</v>
      </c>
      <c r="H90" t="s">
        <v>439</v>
      </c>
      <c r="I90" t="s">
        <v>439</v>
      </c>
      <c r="J90" t="s">
        <v>439</v>
      </c>
    </row>
    <row r="91" spans="1:10" x14ac:dyDescent="0.25">
      <c r="A91" t="s">
        <v>235</v>
      </c>
      <c r="B91" t="s">
        <v>80</v>
      </c>
      <c r="C91" t="s">
        <v>240</v>
      </c>
      <c r="D91" t="s">
        <v>332</v>
      </c>
      <c r="E91" t="s">
        <v>333</v>
      </c>
      <c r="F91" t="s">
        <v>439</v>
      </c>
      <c r="G91" t="s">
        <v>439</v>
      </c>
      <c r="H91" t="s">
        <v>439</v>
      </c>
      <c r="I91" t="s">
        <v>439</v>
      </c>
      <c r="J91" t="s">
        <v>439</v>
      </c>
    </row>
    <row r="92" spans="1:10" x14ac:dyDescent="0.25">
      <c r="A92" t="s">
        <v>235</v>
      </c>
      <c r="B92" t="s">
        <v>80</v>
      </c>
      <c r="C92" t="s">
        <v>240</v>
      </c>
      <c r="D92" t="s">
        <v>334</v>
      </c>
      <c r="E92" t="s">
        <v>335</v>
      </c>
      <c r="F92" t="s">
        <v>439</v>
      </c>
      <c r="G92" t="s">
        <v>439</v>
      </c>
      <c r="H92" t="s">
        <v>439</v>
      </c>
      <c r="I92" t="s">
        <v>439</v>
      </c>
      <c r="J92" t="s">
        <v>439</v>
      </c>
    </row>
    <row r="93" spans="1:10" x14ac:dyDescent="0.25">
      <c r="A93" t="s">
        <v>235</v>
      </c>
      <c r="B93" t="s">
        <v>80</v>
      </c>
      <c r="C93" t="s">
        <v>240</v>
      </c>
      <c r="D93" t="s">
        <v>336</v>
      </c>
      <c r="E93" t="s">
        <v>337</v>
      </c>
      <c r="F93" t="s">
        <v>439</v>
      </c>
      <c r="G93" t="s">
        <v>439</v>
      </c>
      <c r="H93" t="s">
        <v>439</v>
      </c>
      <c r="I93" t="s">
        <v>439</v>
      </c>
      <c r="J93" t="s">
        <v>439</v>
      </c>
    </row>
    <row r="94" spans="1:10" x14ac:dyDescent="0.25">
      <c r="A94" t="s">
        <v>235</v>
      </c>
      <c r="B94" t="s">
        <v>80</v>
      </c>
      <c r="C94" t="s">
        <v>240</v>
      </c>
      <c r="D94" t="s">
        <v>338</v>
      </c>
      <c r="E94" t="s">
        <v>339</v>
      </c>
      <c r="F94" t="s">
        <v>393</v>
      </c>
      <c r="G94" t="s">
        <v>394</v>
      </c>
      <c r="H94" t="s">
        <v>395</v>
      </c>
      <c r="I94" t="s">
        <v>404</v>
      </c>
      <c r="J94" t="s">
        <v>424</v>
      </c>
    </row>
    <row r="95" spans="1:10" x14ac:dyDescent="0.25">
      <c r="A95" t="s">
        <v>235</v>
      </c>
      <c r="B95" t="s">
        <v>80</v>
      </c>
      <c r="C95" t="s">
        <v>240</v>
      </c>
      <c r="D95" t="s">
        <v>441</v>
      </c>
      <c r="E95" t="s">
        <v>442</v>
      </c>
      <c r="F95" t="s">
        <v>439</v>
      </c>
      <c r="G95" t="s">
        <v>439</v>
      </c>
      <c r="H95" t="s">
        <v>439</v>
      </c>
      <c r="I95" t="s">
        <v>439</v>
      </c>
      <c r="J95" t="s">
        <v>439</v>
      </c>
    </row>
    <row r="96" spans="1:10" x14ac:dyDescent="0.25">
      <c r="A96" t="s">
        <v>235</v>
      </c>
      <c r="B96" t="s">
        <v>80</v>
      </c>
      <c r="C96" t="s">
        <v>388</v>
      </c>
      <c r="D96" t="s">
        <v>443</v>
      </c>
      <c r="E96" t="s">
        <v>289</v>
      </c>
      <c r="F96" t="s">
        <v>439</v>
      </c>
      <c r="G96" t="s">
        <v>439</v>
      </c>
      <c r="H96" t="s">
        <v>439</v>
      </c>
      <c r="I96" t="s">
        <v>439</v>
      </c>
      <c r="J96" t="s">
        <v>444</v>
      </c>
    </row>
    <row r="97" spans="1:10" x14ac:dyDescent="0.25">
      <c r="A97" t="s">
        <v>235</v>
      </c>
      <c r="B97" t="s">
        <v>80</v>
      </c>
      <c r="C97" t="s">
        <v>388</v>
      </c>
      <c r="D97" s="28" t="s">
        <v>472</v>
      </c>
      <c r="E97" t="s">
        <v>433</v>
      </c>
      <c r="F97" t="s">
        <v>393</v>
      </c>
      <c r="G97" t="s">
        <v>394</v>
      </c>
      <c r="H97" t="s">
        <v>403</v>
      </c>
      <c r="I97" t="s">
        <v>430</v>
      </c>
    </row>
    <row r="98" spans="1:10" x14ac:dyDescent="0.25">
      <c r="A98" t="s">
        <v>235</v>
      </c>
      <c r="B98" t="s">
        <v>80</v>
      </c>
      <c r="C98" t="s">
        <v>388</v>
      </c>
      <c r="D98" s="28" t="s">
        <v>438</v>
      </c>
      <c r="E98" t="s">
        <v>435</v>
      </c>
      <c r="F98" t="s">
        <v>393</v>
      </c>
      <c r="G98" t="s">
        <v>394</v>
      </c>
      <c r="H98" t="s">
        <v>403</v>
      </c>
      <c r="I98" t="s">
        <v>432</v>
      </c>
    </row>
    <row r="99" spans="1:10" x14ac:dyDescent="0.25">
      <c r="A99" t="s">
        <v>235</v>
      </c>
      <c r="B99" t="s">
        <v>80</v>
      </c>
      <c r="C99" t="s">
        <v>388</v>
      </c>
      <c r="D99" s="28" t="s">
        <v>437</v>
      </c>
      <c r="E99" t="s">
        <v>434</v>
      </c>
      <c r="F99" t="s">
        <v>393</v>
      </c>
      <c r="G99" t="s">
        <v>394</v>
      </c>
      <c r="H99" t="s">
        <v>403</v>
      </c>
      <c r="I99" t="s">
        <v>431</v>
      </c>
    </row>
    <row r="100" spans="1:10" x14ac:dyDescent="0.25">
      <c r="A100" t="s">
        <v>235</v>
      </c>
      <c r="B100" t="s">
        <v>80</v>
      </c>
      <c r="C100" t="s">
        <v>388</v>
      </c>
      <c r="D100" s="28" t="s">
        <v>473</v>
      </c>
      <c r="E100" t="s">
        <v>474</v>
      </c>
      <c r="F100" t="s">
        <v>393</v>
      </c>
      <c r="G100" t="s">
        <v>401</v>
      </c>
      <c r="H100" t="s">
        <v>475</v>
      </c>
      <c r="I100" t="s">
        <v>430</v>
      </c>
    </row>
    <row r="101" spans="1:10" x14ac:dyDescent="0.25">
      <c r="A101" t="s">
        <v>235</v>
      </c>
      <c r="B101" t="s">
        <v>80</v>
      </c>
      <c r="C101" t="s">
        <v>388</v>
      </c>
      <c r="D101" t="s">
        <v>328</v>
      </c>
      <c r="E101" t="s">
        <v>329</v>
      </c>
      <c r="F101" t="s">
        <v>439</v>
      </c>
      <c r="G101" t="s">
        <v>439</v>
      </c>
      <c r="H101" t="s">
        <v>439</v>
      </c>
      <c r="I101" t="s">
        <v>439</v>
      </c>
    </row>
    <row r="102" spans="1:10" x14ac:dyDescent="0.25">
      <c r="A102" t="s">
        <v>235</v>
      </c>
      <c r="B102" t="s">
        <v>80</v>
      </c>
      <c r="C102" t="s">
        <v>388</v>
      </c>
      <c r="D102" t="s">
        <v>330</v>
      </c>
      <c r="E102" t="s">
        <v>331</v>
      </c>
      <c r="F102" t="s">
        <v>439</v>
      </c>
      <c r="G102" t="s">
        <v>439</v>
      </c>
      <c r="H102" t="s">
        <v>439</v>
      </c>
      <c r="I102" t="s">
        <v>439</v>
      </c>
    </row>
    <row r="103" spans="1:10" x14ac:dyDescent="0.25">
      <c r="A103" t="s">
        <v>235</v>
      </c>
      <c r="B103" t="s">
        <v>80</v>
      </c>
      <c r="C103" t="s">
        <v>388</v>
      </c>
      <c r="D103" t="s">
        <v>332</v>
      </c>
      <c r="E103" t="s">
        <v>333</v>
      </c>
      <c r="F103" t="s">
        <v>439</v>
      </c>
      <c r="G103" t="s">
        <v>439</v>
      </c>
      <c r="H103" t="s">
        <v>439</v>
      </c>
      <c r="I103" t="s">
        <v>439</v>
      </c>
    </row>
    <row r="104" spans="1:10" x14ac:dyDescent="0.25">
      <c r="A104" t="s">
        <v>235</v>
      </c>
      <c r="B104" t="s">
        <v>80</v>
      </c>
      <c r="C104" t="s">
        <v>388</v>
      </c>
      <c r="D104" t="s">
        <v>334</v>
      </c>
      <c r="E104" t="s">
        <v>335</v>
      </c>
      <c r="F104" t="s">
        <v>439</v>
      </c>
      <c r="G104" t="s">
        <v>439</v>
      </c>
      <c r="H104" t="s">
        <v>439</v>
      </c>
      <c r="I104" t="s">
        <v>439</v>
      </c>
    </row>
    <row r="105" spans="1:10" x14ac:dyDescent="0.25">
      <c r="A105" t="s">
        <v>235</v>
      </c>
      <c r="B105" t="s">
        <v>80</v>
      </c>
      <c r="C105" t="s">
        <v>388</v>
      </c>
      <c r="D105" t="s">
        <v>336</v>
      </c>
      <c r="E105" t="s">
        <v>337</v>
      </c>
      <c r="F105" t="s">
        <v>439</v>
      </c>
      <c r="G105" t="s">
        <v>439</v>
      </c>
      <c r="H105" t="s">
        <v>439</v>
      </c>
      <c r="I105" t="s">
        <v>439</v>
      </c>
    </row>
    <row r="106" spans="1:10" x14ac:dyDescent="0.25">
      <c r="A106" t="s">
        <v>235</v>
      </c>
      <c r="B106" t="s">
        <v>80</v>
      </c>
      <c r="C106" t="s">
        <v>388</v>
      </c>
      <c r="D106" t="s">
        <v>338</v>
      </c>
      <c r="E106" t="s">
        <v>339</v>
      </c>
      <c r="F106" t="s">
        <v>439</v>
      </c>
      <c r="G106" t="s">
        <v>439</v>
      </c>
      <c r="H106" t="s">
        <v>439</v>
      </c>
      <c r="I106" t="s">
        <v>439</v>
      </c>
      <c r="J106" t="s">
        <v>444</v>
      </c>
    </row>
    <row r="107" spans="1:10" x14ac:dyDescent="0.25">
      <c r="A107" t="s">
        <v>235</v>
      </c>
      <c r="B107" t="s">
        <v>80</v>
      </c>
      <c r="C107" t="s">
        <v>477</v>
      </c>
      <c r="D107" t="s">
        <v>478</v>
      </c>
      <c r="E107" t="s">
        <v>289</v>
      </c>
    </row>
    <row r="108" spans="1:10" x14ac:dyDescent="0.25">
      <c r="A108" t="s">
        <v>235</v>
      </c>
      <c r="B108" t="s">
        <v>80</v>
      </c>
      <c r="C108" t="s">
        <v>477</v>
      </c>
      <c r="D108" t="s">
        <v>479</v>
      </c>
      <c r="E108" t="s">
        <v>429</v>
      </c>
    </row>
    <row r="109" spans="1:10" x14ac:dyDescent="0.25">
      <c r="A109" t="s">
        <v>235</v>
      </c>
      <c r="B109" t="s">
        <v>80</v>
      </c>
      <c r="C109" t="s">
        <v>477</v>
      </c>
      <c r="D109" t="s">
        <v>480</v>
      </c>
      <c r="E109" t="s">
        <v>485</v>
      </c>
    </row>
    <row r="110" spans="1:10" x14ac:dyDescent="0.25">
      <c r="A110" t="s">
        <v>235</v>
      </c>
      <c r="B110" t="s">
        <v>80</v>
      </c>
      <c r="C110" t="s">
        <v>477</v>
      </c>
      <c r="D110" t="s">
        <v>481</v>
      </c>
      <c r="E110" t="s">
        <v>487</v>
      </c>
    </row>
    <row r="111" spans="1:10" x14ac:dyDescent="0.25">
      <c r="A111" t="s">
        <v>235</v>
      </c>
      <c r="B111" t="s">
        <v>80</v>
      </c>
      <c r="C111" t="s">
        <v>477</v>
      </c>
      <c r="D111" t="s">
        <v>482</v>
      </c>
      <c r="E111" t="s">
        <v>486</v>
      </c>
    </row>
    <row r="112" spans="1:10" x14ac:dyDescent="0.25">
      <c r="A112" t="s">
        <v>235</v>
      </c>
      <c r="B112" t="s">
        <v>80</v>
      </c>
      <c r="C112" t="s">
        <v>477</v>
      </c>
      <c r="D112" t="s">
        <v>483</v>
      </c>
      <c r="E112" t="s">
        <v>488</v>
      </c>
    </row>
    <row r="113" spans="1:10" x14ac:dyDescent="0.25">
      <c r="A113" t="s">
        <v>235</v>
      </c>
      <c r="B113" t="s">
        <v>80</v>
      </c>
      <c r="C113" t="s">
        <v>477</v>
      </c>
      <c r="D113" t="s">
        <v>484</v>
      </c>
      <c r="E113" t="s">
        <v>489</v>
      </c>
    </row>
    <row r="114" spans="1:10" x14ac:dyDescent="0.25">
      <c r="A114" t="s">
        <v>235</v>
      </c>
      <c r="B114" t="s">
        <v>80</v>
      </c>
      <c r="C114" t="s">
        <v>477</v>
      </c>
      <c r="D114" t="s">
        <v>328</v>
      </c>
      <c r="E114" t="s">
        <v>329</v>
      </c>
      <c r="F114" t="s">
        <v>439</v>
      </c>
      <c r="G114" t="s">
        <v>439</v>
      </c>
      <c r="H114" t="s">
        <v>439</v>
      </c>
      <c r="I114" t="s">
        <v>439</v>
      </c>
    </row>
    <row r="115" spans="1:10" x14ac:dyDescent="0.25">
      <c r="A115" t="s">
        <v>235</v>
      </c>
      <c r="B115" t="s">
        <v>80</v>
      </c>
      <c r="C115" t="s">
        <v>477</v>
      </c>
      <c r="D115" t="s">
        <v>330</v>
      </c>
      <c r="E115" t="s">
        <v>331</v>
      </c>
      <c r="F115" t="s">
        <v>439</v>
      </c>
      <c r="G115" t="s">
        <v>439</v>
      </c>
      <c r="H115" t="s">
        <v>439</v>
      </c>
      <c r="I115" t="s">
        <v>439</v>
      </c>
    </row>
    <row r="116" spans="1:10" x14ac:dyDescent="0.25">
      <c r="A116" t="s">
        <v>235</v>
      </c>
      <c r="B116" t="s">
        <v>80</v>
      </c>
      <c r="C116" t="s">
        <v>477</v>
      </c>
      <c r="D116" t="s">
        <v>332</v>
      </c>
      <c r="E116" t="s">
        <v>333</v>
      </c>
      <c r="F116" t="s">
        <v>439</v>
      </c>
      <c r="G116" t="s">
        <v>439</v>
      </c>
      <c r="H116" t="s">
        <v>439</v>
      </c>
      <c r="I116" t="s">
        <v>439</v>
      </c>
    </row>
    <row r="117" spans="1:10" x14ac:dyDescent="0.25">
      <c r="A117" t="s">
        <v>235</v>
      </c>
      <c r="B117" t="s">
        <v>80</v>
      </c>
      <c r="C117" t="s">
        <v>477</v>
      </c>
      <c r="D117" t="s">
        <v>334</v>
      </c>
      <c r="E117" t="s">
        <v>335</v>
      </c>
      <c r="F117" t="s">
        <v>439</v>
      </c>
      <c r="G117" t="s">
        <v>439</v>
      </c>
      <c r="H117" t="s">
        <v>439</v>
      </c>
      <c r="I117" t="s">
        <v>439</v>
      </c>
    </row>
    <row r="118" spans="1:10" x14ac:dyDescent="0.25">
      <c r="A118" t="s">
        <v>235</v>
      </c>
      <c r="B118" t="s">
        <v>80</v>
      </c>
      <c r="C118" t="s">
        <v>477</v>
      </c>
      <c r="D118" t="s">
        <v>336</v>
      </c>
      <c r="E118" t="s">
        <v>337</v>
      </c>
      <c r="F118" t="s">
        <v>439</v>
      </c>
      <c r="G118" t="s">
        <v>439</v>
      </c>
      <c r="H118" t="s">
        <v>439</v>
      </c>
      <c r="I118" t="s">
        <v>439</v>
      </c>
    </row>
    <row r="119" spans="1:10" x14ac:dyDescent="0.25">
      <c r="A119" t="s">
        <v>235</v>
      </c>
      <c r="B119" t="s">
        <v>80</v>
      </c>
      <c r="C119" t="s">
        <v>477</v>
      </c>
      <c r="D119" t="s">
        <v>338</v>
      </c>
      <c r="E119" t="s">
        <v>339</v>
      </c>
      <c r="F119" t="s">
        <v>439</v>
      </c>
      <c r="G119" t="s">
        <v>439</v>
      </c>
      <c r="H119" t="s">
        <v>439</v>
      </c>
      <c r="I119" t="s">
        <v>439</v>
      </c>
      <c r="J119" t="s">
        <v>424</v>
      </c>
    </row>
  </sheetData>
  <conditionalFormatting sqref="F113:F115">
    <cfRule type="expression" dxfId="2" priority="1432">
      <formula>AND($A112&lt;&gt;"", MOD(ROW(),2) = 0)</formula>
    </cfRule>
  </conditionalFormatting>
  <conditionalFormatting sqref="F112">
    <cfRule type="expression" dxfId="1" priority="1433">
      <formula>AND($A108&lt;&gt;"", MOD(ROW(),2) = 0)</formula>
    </cfRule>
  </conditionalFormatting>
  <dataValidations count="2">
    <dataValidation type="list" allowBlank="1" showInputMessage="1" showErrorMessage="1" sqref="A2:A119" xr:uid="{00000000-0002-0000-0100-000000000000}">
      <formula1>SchemaList</formula1>
    </dataValidation>
    <dataValidation type="list" allowBlank="1" showInputMessage="1" showErrorMessage="1" sqref="B2:B119" xr:uid="{00000000-0002-0000-0100-000001000000}">
      <formula1>ObjectTypeList</formula1>
    </dataValidation>
  </dataValidation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7"/>
  <sheetViews>
    <sheetView workbookViewId="0">
      <selection activeCell="D30" sqref="D30"/>
    </sheetView>
  </sheetViews>
  <sheetFormatPr defaultRowHeight="15" x14ac:dyDescent="0.25"/>
  <cols>
    <col min="1" max="1" width="14.42578125" style="7" bestFit="1" customWidth="1"/>
    <col min="2" max="2" width="11.42578125" style="8" bestFit="1" customWidth="1"/>
    <col min="3" max="3" width="23.140625" style="1" bestFit="1" customWidth="1"/>
    <col min="4" max="4" width="18.42578125" style="2" bestFit="1" customWidth="1"/>
    <col min="5" max="5" width="17.140625" style="6" bestFit="1" customWidth="1"/>
    <col min="6" max="6" width="19.140625" style="5" bestFit="1" customWidth="1"/>
    <col min="7" max="7" width="15.140625" style="14" bestFit="1" customWidth="1"/>
    <col min="8" max="8" width="20.42578125" style="1" bestFit="1" customWidth="1"/>
    <col min="9" max="9" width="19.140625" style="5" customWidth="1"/>
    <col min="10" max="10" width="8.42578125" style="14"/>
    <col min="11" max="11" width="12.42578125" style="1" bestFit="1" customWidth="1"/>
    <col min="12" max="12" width="11.42578125" style="14" bestFit="1" customWidth="1"/>
    <col min="13" max="13" width="13.42578125" style="1" bestFit="1" customWidth="1"/>
    <col min="14" max="14" width="13.42578125" style="14" bestFit="1" customWidth="1"/>
    <col min="15" max="15" width="23.42578125" style="18" bestFit="1" customWidth="1"/>
    <col min="16" max="16" width="8.42578125" style="1"/>
    <col min="17" max="17" width="8.42578125" style="14"/>
    <col min="18" max="18" width="10.42578125" style="18" customWidth="1"/>
    <col min="19" max="19" width="8.42578125" style="5"/>
    <col min="20" max="20" width="11.140625" style="5" bestFit="1" customWidth="1"/>
  </cols>
  <sheetData>
    <row r="1" spans="1:20" x14ac:dyDescent="0.25">
      <c r="A1" s="96" t="s">
        <v>8</v>
      </c>
      <c r="B1" s="107" t="s">
        <v>28</v>
      </c>
      <c r="C1" s="100" t="s">
        <v>13</v>
      </c>
      <c r="D1" s="101"/>
      <c r="E1" s="100" t="s">
        <v>12</v>
      </c>
      <c r="F1" s="102"/>
      <c r="G1" s="103"/>
      <c r="H1" s="104" t="s">
        <v>14</v>
      </c>
      <c r="I1" s="105"/>
      <c r="J1" s="106"/>
      <c r="K1" s="104" t="s">
        <v>18</v>
      </c>
      <c r="L1" s="106"/>
      <c r="M1" s="104" t="s">
        <v>21</v>
      </c>
      <c r="N1" s="98"/>
      <c r="O1" s="20" t="s">
        <v>23</v>
      </c>
      <c r="P1" s="104" t="s">
        <v>25</v>
      </c>
      <c r="Q1" s="106"/>
      <c r="R1" s="100" t="s">
        <v>32</v>
      </c>
      <c r="S1" s="98" t="s">
        <v>33</v>
      </c>
      <c r="T1" s="98" t="s">
        <v>34</v>
      </c>
    </row>
    <row r="2" spans="1:20" ht="45.75" thickBot="1" x14ac:dyDescent="0.3">
      <c r="A2" s="97"/>
      <c r="B2" s="108"/>
      <c r="C2" s="11" t="s">
        <v>29</v>
      </c>
      <c r="D2" s="12" t="s">
        <v>30</v>
      </c>
      <c r="E2" s="21" t="s">
        <v>11</v>
      </c>
      <c r="F2" s="22" t="s">
        <v>10</v>
      </c>
      <c r="G2" s="23" t="s">
        <v>9</v>
      </c>
      <c r="H2" s="24" t="s">
        <v>15</v>
      </c>
      <c r="I2" s="25" t="s">
        <v>17</v>
      </c>
      <c r="J2" s="26" t="s">
        <v>16</v>
      </c>
      <c r="K2" s="24" t="s">
        <v>19</v>
      </c>
      <c r="L2" s="26" t="s">
        <v>20</v>
      </c>
      <c r="M2" s="24" t="s">
        <v>31</v>
      </c>
      <c r="N2" s="26" t="s">
        <v>22</v>
      </c>
      <c r="O2" s="27" t="s">
        <v>24</v>
      </c>
      <c r="P2" s="24" t="s">
        <v>26</v>
      </c>
      <c r="Q2" s="26" t="s">
        <v>27</v>
      </c>
      <c r="R2" s="109"/>
      <c r="S2" s="99"/>
      <c r="T2" s="99"/>
    </row>
    <row r="3" spans="1:20" x14ac:dyDescent="0.25">
      <c r="A3" s="15"/>
      <c r="B3" s="16"/>
      <c r="C3" s="3"/>
      <c r="D3" s="4"/>
      <c r="E3" s="9"/>
      <c r="F3" s="10"/>
      <c r="G3" s="13"/>
      <c r="H3" s="3"/>
      <c r="I3" s="10"/>
      <c r="J3" s="13"/>
      <c r="K3" s="3"/>
      <c r="L3" s="13"/>
      <c r="M3" s="3"/>
      <c r="N3" s="13"/>
      <c r="O3" s="17"/>
      <c r="P3" s="19"/>
      <c r="Q3" s="13"/>
      <c r="R3" s="17"/>
      <c r="S3" s="10">
        <f>SUM(C3:R3)</f>
        <v>0</v>
      </c>
      <c r="T3" s="10">
        <f>S3*1.3</f>
        <v>0</v>
      </c>
    </row>
    <row r="4" spans="1:20" x14ac:dyDescent="0.25">
      <c r="S4" s="5">
        <f>SUM(C4:R4)</f>
        <v>0</v>
      </c>
      <c r="T4" s="5">
        <f>(S4*1.3)</f>
        <v>0</v>
      </c>
    </row>
    <row r="5" spans="1:20" x14ac:dyDescent="0.25">
      <c r="S5" s="5">
        <f>SUM(C5:R5)</f>
        <v>0</v>
      </c>
      <c r="T5" s="5">
        <f>(S5*1.3)</f>
        <v>0</v>
      </c>
    </row>
    <row r="6" spans="1:20" x14ac:dyDescent="0.25">
      <c r="S6" s="5">
        <f t="shared" ref="S6:S7" si="0">SUM(C6:R6)</f>
        <v>0</v>
      </c>
      <c r="T6" s="5">
        <f t="shared" ref="T6:T7" si="1">(S6*1.3)</f>
        <v>0</v>
      </c>
    </row>
    <row r="7" spans="1:20" x14ac:dyDescent="0.25">
      <c r="S7" s="5">
        <f t="shared" si="0"/>
        <v>0</v>
      </c>
      <c r="T7" s="5">
        <f t="shared" si="1"/>
        <v>0</v>
      </c>
    </row>
  </sheetData>
  <mergeCells count="11">
    <mergeCell ref="A1:A2"/>
    <mergeCell ref="T1:T2"/>
    <mergeCell ref="C1:D1"/>
    <mergeCell ref="E1:G1"/>
    <mergeCell ref="H1:J1"/>
    <mergeCell ref="B1:B2"/>
    <mergeCell ref="K1:L1"/>
    <mergeCell ref="M1:N1"/>
    <mergeCell ref="P1:Q1"/>
    <mergeCell ref="R1:R2"/>
    <mergeCell ref="S1:S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FBB04-DB8D-4DC7-B816-D6774AFCD459}">
  <dimension ref="A1:AA505"/>
  <sheetViews>
    <sheetView workbookViewId="0">
      <selection activeCell="C4" sqref="C4:D6"/>
    </sheetView>
  </sheetViews>
  <sheetFormatPr defaultColWidth="15.28515625" defaultRowHeight="15" x14ac:dyDescent="0.25"/>
  <cols>
    <col min="1" max="1" width="15.28515625" style="85"/>
    <col min="2" max="2" width="23.85546875" style="83" bestFit="1" customWidth="1"/>
    <col min="3" max="3" width="15.28515625" style="83"/>
    <col min="4" max="4" width="91.42578125" style="83" bestFit="1" customWidth="1"/>
    <col min="5" max="5" width="23.42578125" style="83" customWidth="1"/>
    <col min="6" max="6" width="15.28515625" style="83"/>
    <col min="7" max="7" width="128" style="83" bestFit="1" customWidth="1"/>
    <col min="8" max="16384" width="15.28515625" style="83"/>
  </cols>
  <sheetData>
    <row r="1" spans="1:27" x14ac:dyDescent="0.25">
      <c r="A1" s="92" t="s">
        <v>469</v>
      </c>
    </row>
    <row r="2" spans="1:27" x14ac:dyDescent="0.25">
      <c r="A2" s="92" t="s">
        <v>470</v>
      </c>
      <c r="E2" s="93" t="str">
        <f>SUBSTITUTE(SUBSTITUTE(SUBSTITUTE(LEFT(G2,FIND("]",G2)),"]",""),"[",""),"    ","")</f>
        <v>territory_key</v>
      </c>
      <c r="G2" s="83" t="s">
        <v>471</v>
      </c>
      <c r="M2" s="87"/>
      <c r="N2" s="88"/>
      <c r="Q2" s="87"/>
      <c r="R2" s="88"/>
      <c r="U2" s="87"/>
      <c r="Y2" s="87"/>
    </row>
    <row r="3" spans="1:27" x14ac:dyDescent="0.25">
      <c r="A3" s="84"/>
      <c r="B3" s="83">
        <v>1</v>
      </c>
      <c r="C3" s="83" t="s">
        <v>407</v>
      </c>
      <c r="D3" s="83" t="s">
        <v>445</v>
      </c>
      <c r="E3" s="93" t="str">
        <f t="shared" ref="E3:E6" si="0">SUBSTITUTE(SUBSTITUTE(SUBSTITUTE(LEFT(G3,FIND("]",G3)),"]",""),"[",""),"    ","")</f>
        <v>territory_name_bk</v>
      </c>
      <c r="G3" s="83" t="s">
        <v>460</v>
      </c>
      <c r="Q3" s="87"/>
      <c r="R3" s="88"/>
      <c r="S3" s="87"/>
      <c r="T3" s="88"/>
      <c r="Z3" s="87"/>
      <c r="AA3" s="87"/>
    </row>
    <row r="4" spans="1:27" x14ac:dyDescent="0.25">
      <c r="A4" s="84"/>
      <c r="B4" s="83">
        <v>2</v>
      </c>
      <c r="C4" s="83" t="s">
        <v>430</v>
      </c>
      <c r="D4" s="83" t="s">
        <v>433</v>
      </c>
      <c r="E4" s="93" t="str">
        <f t="shared" si="0"/>
        <v>territory_group</v>
      </c>
      <c r="G4" s="83" t="s">
        <v>461</v>
      </c>
      <c r="Q4" s="87"/>
      <c r="R4" s="88"/>
      <c r="S4" s="87"/>
      <c r="T4" s="88"/>
      <c r="Z4" s="87"/>
      <c r="AA4" s="87"/>
    </row>
    <row r="5" spans="1:27" x14ac:dyDescent="0.25">
      <c r="A5" s="84"/>
      <c r="B5" s="84">
        <v>3</v>
      </c>
      <c r="C5" s="84" t="s">
        <v>431</v>
      </c>
      <c r="D5" s="83" t="s">
        <v>434</v>
      </c>
      <c r="E5" s="93" t="str">
        <f t="shared" si="0"/>
        <v>country_region_code</v>
      </c>
      <c r="G5" s="83" t="s">
        <v>462</v>
      </c>
      <c r="Q5" s="87"/>
      <c r="R5" s="88"/>
      <c r="S5" s="87"/>
      <c r="T5" s="88"/>
      <c r="Z5" s="87"/>
      <c r="AA5" s="87"/>
    </row>
    <row r="6" spans="1:27" x14ac:dyDescent="0.25">
      <c r="A6" s="84"/>
      <c r="B6" s="83">
        <v>4</v>
      </c>
      <c r="C6" s="83" t="s">
        <v>432</v>
      </c>
      <c r="D6" s="83" t="s">
        <v>435</v>
      </c>
      <c r="E6" s="93" t="str">
        <f t="shared" si="0"/>
        <v>country_name</v>
      </c>
      <c r="G6" s="83" t="s">
        <v>463</v>
      </c>
      <c r="Q6" s="87"/>
      <c r="R6" s="88"/>
      <c r="Y6" s="87"/>
    </row>
    <row r="7" spans="1:27" x14ac:dyDescent="0.25">
      <c r="A7" s="84"/>
      <c r="B7" s="83">
        <v>5</v>
      </c>
      <c r="C7" s="83" t="s">
        <v>446</v>
      </c>
      <c r="D7" s="83" t="s">
        <v>447</v>
      </c>
      <c r="G7" s="83" t="s">
        <v>458</v>
      </c>
      <c r="Q7" s="87"/>
      <c r="R7" s="88"/>
      <c r="Y7" s="87"/>
    </row>
    <row r="8" spans="1:27" x14ac:dyDescent="0.25">
      <c r="A8" s="84"/>
      <c r="B8" s="83">
        <v>6</v>
      </c>
      <c r="C8" s="83" t="s">
        <v>448</v>
      </c>
      <c r="D8" s="83" t="s">
        <v>449</v>
      </c>
      <c r="E8" s="83" t="str">
        <f t="shared" ref="E8:E12" si="1">LEFT(G8, FIND("]", G8))</f>
        <v>    [sys_insert_date]</v>
      </c>
      <c r="G8" s="83" t="s">
        <v>464</v>
      </c>
      <c r="Q8" s="87"/>
      <c r="R8" s="88"/>
      <c r="Y8" s="87"/>
    </row>
    <row r="9" spans="1:27" x14ac:dyDescent="0.25">
      <c r="A9" s="84"/>
      <c r="B9" s="83">
        <v>7</v>
      </c>
      <c r="C9" s="83" t="s">
        <v>450</v>
      </c>
      <c r="D9" s="83" t="s">
        <v>451</v>
      </c>
      <c r="E9" s="83" t="str">
        <f t="shared" si="1"/>
        <v>    [sys_update_date]</v>
      </c>
      <c r="G9" s="83" t="s">
        <v>465</v>
      </c>
      <c r="N9" s="87"/>
      <c r="O9" s="88"/>
      <c r="V9" s="87"/>
    </row>
    <row r="10" spans="1:27" x14ac:dyDescent="0.25">
      <c r="A10" s="84"/>
      <c r="B10" s="83">
        <v>8</v>
      </c>
      <c r="C10" s="83" t="s">
        <v>452</v>
      </c>
      <c r="D10" s="83" t="s">
        <v>453</v>
      </c>
      <c r="E10" s="83" t="str">
        <f t="shared" si="1"/>
        <v>    [sys_delete_date]</v>
      </c>
      <c r="G10" s="83" t="s">
        <v>466</v>
      </c>
      <c r="N10" s="87"/>
      <c r="O10" s="88"/>
      <c r="V10" s="87"/>
    </row>
    <row r="11" spans="1:27" x14ac:dyDescent="0.25">
      <c r="A11" s="84"/>
      <c r="B11" s="83">
        <v>9</v>
      </c>
      <c r="C11" s="83" t="s">
        <v>454</v>
      </c>
      <c r="D11" s="83" t="s">
        <v>455</v>
      </c>
      <c r="E11" s="83" t="str">
        <f t="shared" si="1"/>
        <v>    [sys_hash_value]</v>
      </c>
      <c r="G11" s="83" t="s">
        <v>467</v>
      </c>
      <c r="N11" s="87"/>
      <c r="O11" s="88"/>
      <c r="V11" s="87"/>
    </row>
    <row r="12" spans="1:27" x14ac:dyDescent="0.25">
      <c r="A12" s="84"/>
      <c r="B12" s="83">
        <v>10</v>
      </c>
      <c r="C12" s="83" t="s">
        <v>456</v>
      </c>
      <c r="D12" s="83" t="s">
        <v>457</v>
      </c>
      <c r="E12" s="83" t="str">
        <f t="shared" si="1"/>
        <v>    [sys_data_source]</v>
      </c>
      <c r="G12" s="83" t="s">
        <v>468</v>
      </c>
      <c r="N12" s="87"/>
      <c r="O12" s="88"/>
      <c r="V12" s="87"/>
    </row>
    <row r="13" spans="1:27" x14ac:dyDescent="0.25">
      <c r="A13" s="84"/>
      <c r="G13" s="83" t="s">
        <v>459</v>
      </c>
      <c r="N13" s="87"/>
      <c r="O13" s="88"/>
      <c r="V13" s="87"/>
    </row>
    <row r="14" spans="1:27" x14ac:dyDescent="0.25">
      <c r="A14" s="84"/>
      <c r="Q14" s="87"/>
      <c r="R14" s="88"/>
      <c r="S14" s="87"/>
      <c r="T14" s="88"/>
      <c r="Z14" s="87"/>
      <c r="AA14" s="87"/>
    </row>
    <row r="15" spans="1:27" x14ac:dyDescent="0.25">
      <c r="A15" s="84"/>
      <c r="Q15" s="87"/>
      <c r="R15" s="88"/>
      <c r="Y15" s="87"/>
    </row>
    <row r="16" spans="1:27" x14ac:dyDescent="0.25">
      <c r="A16" s="84"/>
      <c r="Q16" s="87"/>
      <c r="R16" s="88"/>
      <c r="Y16" s="87"/>
    </row>
    <row r="17" spans="1:27" x14ac:dyDescent="0.25">
      <c r="A17" s="84"/>
      <c r="Q17" s="87"/>
      <c r="R17" s="88"/>
      <c r="Y17" s="87"/>
    </row>
    <row r="18" spans="1:27" x14ac:dyDescent="0.25">
      <c r="A18" s="84"/>
      <c r="Q18" s="87"/>
      <c r="R18" s="88"/>
      <c r="Y18" s="87"/>
    </row>
    <row r="19" spans="1:27" x14ac:dyDescent="0.25">
      <c r="A19" s="84"/>
      <c r="C19" s="87"/>
      <c r="Q19" s="87"/>
      <c r="R19" s="88"/>
      <c r="Y19" s="87"/>
    </row>
    <row r="20" spans="1:27" x14ac:dyDescent="0.25">
      <c r="A20" s="84"/>
      <c r="C20" s="88"/>
      <c r="Q20" s="87"/>
      <c r="R20" s="88"/>
      <c r="Y20" s="87"/>
    </row>
    <row r="21" spans="1:27" x14ac:dyDescent="0.25">
      <c r="A21" s="84"/>
      <c r="N21" s="87"/>
      <c r="O21" s="88"/>
      <c r="V21" s="87"/>
    </row>
    <row r="22" spans="1:27" x14ac:dyDescent="0.25">
      <c r="A22" s="84"/>
      <c r="N22" s="87"/>
      <c r="O22" s="88"/>
      <c r="V22" s="87"/>
    </row>
    <row r="23" spans="1:27" x14ac:dyDescent="0.25">
      <c r="A23" s="84"/>
      <c r="N23" s="87"/>
      <c r="O23" s="88"/>
      <c r="V23" s="87"/>
    </row>
    <row r="24" spans="1:27" x14ac:dyDescent="0.25">
      <c r="A24" s="84"/>
      <c r="Q24" s="87"/>
      <c r="R24" s="88"/>
      <c r="S24" s="87"/>
      <c r="T24" s="88"/>
      <c r="Z24" s="87"/>
      <c r="AA24" s="87"/>
    </row>
    <row r="25" spans="1:27" x14ac:dyDescent="0.25">
      <c r="A25" s="84"/>
      <c r="N25" s="87"/>
      <c r="O25" s="88"/>
      <c r="V25" s="87"/>
    </row>
    <row r="26" spans="1:27" x14ac:dyDescent="0.25">
      <c r="A26" s="84"/>
      <c r="N26" s="87"/>
      <c r="O26" s="88"/>
      <c r="P26" s="87"/>
      <c r="Q26" s="88"/>
      <c r="W26" s="87"/>
      <c r="X26" s="87"/>
    </row>
    <row r="27" spans="1:27" x14ac:dyDescent="0.25">
      <c r="C27" s="87"/>
      <c r="Q27" s="87"/>
      <c r="R27" s="88"/>
      <c r="Y27" s="87"/>
    </row>
    <row r="28" spans="1:27" x14ac:dyDescent="0.25">
      <c r="N28" s="87"/>
      <c r="O28" s="88"/>
      <c r="P28" s="87"/>
      <c r="Q28" s="88"/>
      <c r="W28" s="87"/>
      <c r="X28" s="87"/>
    </row>
    <row r="29" spans="1:27" x14ac:dyDescent="0.25">
      <c r="Q29" s="87"/>
      <c r="R29" s="88"/>
      <c r="S29" s="87"/>
      <c r="T29" s="88"/>
      <c r="Z29" s="87"/>
      <c r="AA29" s="87"/>
    </row>
    <row r="30" spans="1:27" x14ac:dyDescent="0.25">
      <c r="N30" s="87"/>
      <c r="O30" s="88"/>
      <c r="V30" s="87"/>
    </row>
    <row r="31" spans="1:27" x14ac:dyDescent="0.25">
      <c r="N31" s="87"/>
      <c r="O31" s="88"/>
      <c r="P31" s="87"/>
      <c r="Q31" s="88"/>
      <c r="W31" s="87"/>
      <c r="X31" s="87"/>
    </row>
    <row r="32" spans="1:27" x14ac:dyDescent="0.25">
      <c r="Q32" s="87"/>
      <c r="R32" s="88"/>
      <c r="Y32" s="87"/>
    </row>
    <row r="33" spans="14:27" x14ac:dyDescent="0.25">
      <c r="N33" s="87"/>
      <c r="O33" s="88"/>
      <c r="P33" s="87"/>
      <c r="Q33" s="88"/>
      <c r="W33" s="87"/>
      <c r="X33" s="87"/>
    </row>
    <row r="34" spans="14:27" x14ac:dyDescent="0.25">
      <c r="N34" s="87"/>
      <c r="O34" s="88"/>
      <c r="P34" s="87"/>
      <c r="Q34" s="88"/>
      <c r="W34" s="87"/>
      <c r="X34" s="87"/>
    </row>
    <row r="35" spans="14:27" x14ac:dyDescent="0.25">
      <c r="O35" s="87"/>
      <c r="P35" s="88"/>
      <c r="Q35" s="87"/>
      <c r="R35" s="88"/>
      <c r="X35" s="87"/>
      <c r="Y35" s="87"/>
    </row>
    <row r="36" spans="14:27" x14ac:dyDescent="0.25">
      <c r="O36" s="87"/>
      <c r="P36" s="88"/>
      <c r="Q36" s="87"/>
      <c r="R36" s="88"/>
      <c r="X36" s="87"/>
      <c r="Y36" s="87"/>
    </row>
    <row r="37" spans="14:27" x14ac:dyDescent="0.25">
      <c r="O37" s="87"/>
      <c r="P37" s="88"/>
      <c r="Q37" s="87"/>
      <c r="R37" s="88"/>
      <c r="X37" s="87"/>
      <c r="Y37" s="87"/>
    </row>
    <row r="38" spans="14:27" x14ac:dyDescent="0.25">
      <c r="N38" s="87"/>
      <c r="O38" s="88"/>
      <c r="P38" s="87"/>
      <c r="Q38" s="88"/>
      <c r="W38" s="87"/>
      <c r="X38" s="87"/>
    </row>
    <row r="39" spans="14:27" x14ac:dyDescent="0.25">
      <c r="N39" s="87"/>
      <c r="O39" s="88"/>
      <c r="P39" s="87"/>
      <c r="Q39" s="88"/>
      <c r="W39" s="87"/>
      <c r="X39" s="87"/>
    </row>
    <row r="40" spans="14:27" x14ac:dyDescent="0.25">
      <c r="N40" s="87"/>
      <c r="O40" s="88"/>
      <c r="P40" s="87"/>
      <c r="Q40" s="88"/>
      <c r="W40" s="87"/>
      <c r="X40" s="87"/>
    </row>
    <row r="41" spans="14:27" x14ac:dyDescent="0.25">
      <c r="O41" s="87"/>
      <c r="P41" s="88"/>
      <c r="Q41" s="87"/>
      <c r="R41" s="88"/>
      <c r="X41" s="87"/>
      <c r="Y41" s="87"/>
    </row>
    <row r="42" spans="14:27" x14ac:dyDescent="0.25">
      <c r="Q42" s="87"/>
      <c r="R42" s="88"/>
      <c r="S42" s="87"/>
      <c r="T42" s="88"/>
      <c r="Z42" s="87"/>
      <c r="AA42" s="87"/>
    </row>
    <row r="43" spans="14:27" x14ac:dyDescent="0.25">
      <c r="O43" s="87"/>
      <c r="P43" s="88"/>
      <c r="Q43" s="87"/>
      <c r="R43" s="88"/>
      <c r="X43" s="87"/>
      <c r="Y43" s="87"/>
    </row>
    <row r="44" spans="14:27" x14ac:dyDescent="0.25">
      <c r="N44" s="87"/>
      <c r="O44" s="88"/>
      <c r="P44" s="87"/>
      <c r="Q44" s="88"/>
      <c r="W44" s="87"/>
      <c r="X44" s="87"/>
    </row>
    <row r="45" spans="14:27" x14ac:dyDescent="0.25">
      <c r="N45" s="87"/>
      <c r="O45" s="88"/>
      <c r="P45" s="87"/>
      <c r="Q45" s="88"/>
      <c r="W45" s="87"/>
      <c r="X45" s="87"/>
    </row>
    <row r="46" spans="14:27" x14ac:dyDescent="0.25">
      <c r="N46" s="87"/>
      <c r="O46" s="88"/>
      <c r="V46" s="87"/>
    </row>
    <row r="47" spans="14:27" x14ac:dyDescent="0.25">
      <c r="N47" s="87"/>
      <c r="O47" s="88"/>
      <c r="P47" s="87"/>
      <c r="Q47" s="88"/>
      <c r="W47" s="87"/>
      <c r="X47" s="87"/>
    </row>
    <row r="48" spans="14:27" x14ac:dyDescent="0.25">
      <c r="N48" s="87"/>
      <c r="O48" s="88"/>
      <c r="V48" s="87"/>
    </row>
    <row r="49" spans="14:27" x14ac:dyDescent="0.25">
      <c r="N49" s="87"/>
      <c r="O49" s="88"/>
      <c r="V49" s="87"/>
    </row>
    <row r="50" spans="14:27" x14ac:dyDescent="0.25">
      <c r="Q50" s="87"/>
      <c r="R50" s="88"/>
      <c r="S50" s="87"/>
      <c r="T50" s="88"/>
      <c r="Z50" s="87"/>
      <c r="AA50" s="87"/>
    </row>
    <row r="51" spans="14:27" x14ac:dyDescent="0.25">
      <c r="Q51" s="87"/>
      <c r="R51" s="88"/>
      <c r="S51" s="87"/>
      <c r="T51" s="88"/>
      <c r="Z51" s="87"/>
      <c r="AA51" s="87"/>
    </row>
    <row r="52" spans="14:27" x14ac:dyDescent="0.25">
      <c r="Q52" s="87"/>
      <c r="R52" s="88"/>
      <c r="S52" s="87"/>
      <c r="T52" s="88"/>
      <c r="Z52" s="87"/>
      <c r="AA52" s="87"/>
    </row>
    <row r="53" spans="14:27" x14ac:dyDescent="0.25">
      <c r="N53" s="87"/>
      <c r="O53" s="88"/>
      <c r="V53" s="87"/>
    </row>
    <row r="54" spans="14:27" x14ac:dyDescent="0.25">
      <c r="N54" s="87"/>
      <c r="O54" s="88"/>
      <c r="P54" s="87"/>
      <c r="Q54" s="88"/>
      <c r="W54" s="87"/>
      <c r="X54" s="87"/>
    </row>
    <row r="55" spans="14:27" x14ac:dyDescent="0.25">
      <c r="O55" s="87"/>
      <c r="P55" s="88"/>
      <c r="Q55" s="87"/>
      <c r="R55" s="88"/>
      <c r="X55" s="87"/>
      <c r="Y55" s="87"/>
    </row>
    <row r="56" spans="14:27" x14ac:dyDescent="0.25">
      <c r="Q56" s="87"/>
      <c r="R56" s="88"/>
      <c r="S56" s="87"/>
      <c r="T56" s="88"/>
      <c r="Z56" s="87"/>
      <c r="AA56" s="87"/>
    </row>
    <row r="57" spans="14:27" x14ac:dyDescent="0.25">
      <c r="N57" s="87"/>
      <c r="O57" s="88"/>
      <c r="P57" s="87"/>
      <c r="Q57" s="88"/>
      <c r="W57" s="87"/>
      <c r="X57" s="87"/>
    </row>
    <row r="58" spans="14:27" x14ac:dyDescent="0.25">
      <c r="N58" s="87"/>
      <c r="O58" s="88"/>
      <c r="P58" s="87"/>
      <c r="Q58" s="88"/>
      <c r="W58" s="87"/>
      <c r="X58" s="87"/>
    </row>
    <row r="59" spans="14:27" x14ac:dyDescent="0.25">
      <c r="Q59" s="87"/>
      <c r="R59" s="88"/>
      <c r="S59" s="87"/>
      <c r="T59" s="88"/>
      <c r="Z59" s="87"/>
      <c r="AA59" s="87"/>
    </row>
    <row r="60" spans="14:27" x14ac:dyDescent="0.25">
      <c r="Q60" s="87"/>
      <c r="R60" s="88"/>
      <c r="S60" s="87"/>
      <c r="T60" s="88"/>
      <c r="Z60" s="87"/>
      <c r="AA60" s="87"/>
    </row>
    <row r="61" spans="14:27" x14ac:dyDescent="0.25">
      <c r="Q61" s="87"/>
      <c r="R61" s="88"/>
      <c r="Y61" s="87"/>
    </row>
    <row r="62" spans="14:27" x14ac:dyDescent="0.25">
      <c r="N62" s="87"/>
      <c r="O62" s="88"/>
      <c r="P62" s="87"/>
      <c r="Q62" s="88"/>
      <c r="W62" s="87"/>
      <c r="X62" s="87"/>
    </row>
    <row r="63" spans="14:27" x14ac:dyDescent="0.25">
      <c r="N63" s="87"/>
      <c r="O63" s="88"/>
      <c r="P63" s="87"/>
      <c r="Q63" s="88"/>
      <c r="W63" s="87"/>
      <c r="X63" s="87"/>
    </row>
    <row r="64" spans="14:27" x14ac:dyDescent="0.25">
      <c r="N64" s="87"/>
      <c r="O64" s="88"/>
      <c r="P64" s="87"/>
      <c r="Q64" s="88"/>
      <c r="W64" s="87"/>
      <c r="X64" s="87"/>
    </row>
    <row r="65" spans="14:25" x14ac:dyDescent="0.25">
      <c r="Q65" s="87"/>
      <c r="R65" s="88"/>
      <c r="Y65" s="87"/>
    </row>
    <row r="66" spans="14:25" x14ac:dyDescent="0.25">
      <c r="N66" s="87"/>
      <c r="O66" s="88"/>
      <c r="P66" s="87"/>
      <c r="Q66" s="88"/>
      <c r="W66" s="87"/>
      <c r="X66" s="87"/>
    </row>
    <row r="67" spans="14:25" x14ac:dyDescent="0.25">
      <c r="N67" s="87"/>
      <c r="O67" s="88"/>
      <c r="P67" s="87"/>
      <c r="Q67" s="88"/>
      <c r="W67" s="87"/>
      <c r="X67" s="87"/>
    </row>
    <row r="68" spans="14:25" x14ac:dyDescent="0.25">
      <c r="N68" s="87"/>
      <c r="O68" s="88"/>
      <c r="P68" s="87"/>
      <c r="Q68" s="88"/>
      <c r="W68" s="87"/>
      <c r="X68" s="87"/>
    </row>
    <row r="69" spans="14:25" x14ac:dyDescent="0.25">
      <c r="N69" s="87"/>
      <c r="O69" s="88"/>
      <c r="V69" s="87"/>
    </row>
    <row r="70" spans="14:25" x14ac:dyDescent="0.25">
      <c r="Q70" s="87"/>
      <c r="R70" s="88"/>
      <c r="Y70" s="87"/>
    </row>
    <row r="71" spans="14:25" x14ac:dyDescent="0.25">
      <c r="Q71" s="87"/>
      <c r="R71" s="88"/>
      <c r="Y71" s="87"/>
    </row>
    <row r="72" spans="14:25" x14ac:dyDescent="0.25">
      <c r="N72" s="87"/>
      <c r="O72" s="88"/>
      <c r="V72" s="87"/>
    </row>
    <row r="73" spans="14:25" x14ac:dyDescent="0.25">
      <c r="N73" s="87"/>
      <c r="O73" s="88"/>
      <c r="V73" s="87"/>
    </row>
    <row r="74" spans="14:25" x14ac:dyDescent="0.25">
      <c r="N74" s="87"/>
      <c r="O74" s="88"/>
      <c r="V74" s="87"/>
    </row>
    <row r="75" spans="14:25" x14ac:dyDescent="0.25">
      <c r="N75" s="87"/>
      <c r="O75" s="88"/>
      <c r="V75" s="87"/>
    </row>
    <row r="76" spans="14:25" x14ac:dyDescent="0.25">
      <c r="N76" s="87"/>
      <c r="O76" s="88"/>
      <c r="V76" s="87"/>
    </row>
    <row r="77" spans="14:25" x14ac:dyDescent="0.25">
      <c r="N77" s="87"/>
      <c r="O77" s="88"/>
      <c r="V77" s="87"/>
    </row>
    <row r="78" spans="14:25" x14ac:dyDescent="0.25">
      <c r="N78" s="87"/>
      <c r="O78" s="88"/>
      <c r="V78" s="87"/>
    </row>
    <row r="79" spans="14:25" x14ac:dyDescent="0.25">
      <c r="Q79" s="87"/>
      <c r="R79" s="88"/>
      <c r="Y79" s="87"/>
    </row>
    <row r="80" spans="14:25" x14ac:dyDescent="0.25">
      <c r="Q80" s="87"/>
      <c r="R80" s="88"/>
      <c r="Y80" s="87"/>
    </row>
    <row r="81" spans="14:27" x14ac:dyDescent="0.25">
      <c r="Q81" s="87"/>
      <c r="R81" s="88"/>
      <c r="Y81" s="87"/>
    </row>
    <row r="82" spans="14:27" x14ac:dyDescent="0.25">
      <c r="N82" s="87"/>
      <c r="O82" s="88"/>
      <c r="V82" s="87"/>
    </row>
    <row r="83" spans="14:27" x14ac:dyDescent="0.25">
      <c r="N83" s="87"/>
      <c r="O83" s="88"/>
      <c r="P83" s="87"/>
      <c r="Q83" s="88"/>
      <c r="W83" s="87"/>
      <c r="X83" s="87"/>
    </row>
    <row r="84" spans="14:27" x14ac:dyDescent="0.25">
      <c r="Q84" s="87"/>
      <c r="R84" s="88"/>
      <c r="Y84" s="87"/>
    </row>
    <row r="85" spans="14:27" x14ac:dyDescent="0.25">
      <c r="Q85" s="87"/>
      <c r="R85" s="88"/>
      <c r="S85" s="87"/>
      <c r="T85" s="88"/>
      <c r="Z85" s="87"/>
      <c r="AA85" s="87"/>
    </row>
    <row r="86" spans="14:27" x14ac:dyDescent="0.25">
      <c r="Q86" s="87"/>
      <c r="R86" s="88"/>
      <c r="S86" s="87"/>
      <c r="T86" s="88"/>
      <c r="Z86" s="87"/>
      <c r="AA86" s="87"/>
    </row>
    <row r="87" spans="14:27" x14ac:dyDescent="0.25">
      <c r="N87" s="87"/>
      <c r="O87" s="88"/>
      <c r="P87" s="87"/>
      <c r="Q87" s="88"/>
      <c r="W87" s="87"/>
      <c r="X87" s="87"/>
    </row>
    <row r="88" spans="14:27" x14ac:dyDescent="0.25">
      <c r="N88" s="87"/>
      <c r="O88" s="88"/>
      <c r="P88" s="87"/>
      <c r="Q88" s="88"/>
      <c r="W88" s="87"/>
      <c r="X88" s="87"/>
    </row>
    <row r="89" spans="14:27" x14ac:dyDescent="0.25">
      <c r="N89" s="87"/>
      <c r="O89" s="88"/>
      <c r="P89" s="87"/>
      <c r="Q89" s="88"/>
      <c r="W89" s="87"/>
      <c r="X89" s="87"/>
    </row>
    <row r="90" spans="14:27" x14ac:dyDescent="0.25">
      <c r="N90" s="87"/>
      <c r="O90" s="88"/>
      <c r="V90" s="87"/>
    </row>
    <row r="91" spans="14:27" x14ac:dyDescent="0.25">
      <c r="N91" s="87"/>
      <c r="O91" s="88"/>
      <c r="V91" s="87"/>
    </row>
    <row r="92" spans="14:27" x14ac:dyDescent="0.25">
      <c r="N92" s="87"/>
      <c r="O92" s="88"/>
      <c r="V92" s="87"/>
    </row>
    <row r="93" spans="14:27" x14ac:dyDescent="0.25">
      <c r="N93" s="87"/>
      <c r="O93" s="88"/>
      <c r="V93" s="87"/>
    </row>
    <row r="94" spans="14:27" x14ac:dyDescent="0.25">
      <c r="N94" s="87"/>
      <c r="O94" s="88"/>
      <c r="V94" s="87"/>
    </row>
    <row r="95" spans="14:27" x14ac:dyDescent="0.25">
      <c r="N95" s="87"/>
      <c r="O95" s="88"/>
      <c r="P95" s="87"/>
      <c r="Q95" s="88"/>
      <c r="W95" s="87"/>
      <c r="X95" s="87"/>
    </row>
    <row r="96" spans="14:27" x14ac:dyDescent="0.25">
      <c r="N96" s="87"/>
      <c r="O96" s="88"/>
      <c r="V96" s="87"/>
    </row>
    <row r="97" spans="14:25" x14ac:dyDescent="0.25">
      <c r="N97" s="87"/>
      <c r="O97" s="88"/>
      <c r="P97" s="87"/>
      <c r="Q97" s="88"/>
      <c r="W97" s="87"/>
      <c r="X97" s="87"/>
    </row>
    <row r="98" spans="14:25" x14ac:dyDescent="0.25">
      <c r="Q98" s="87"/>
      <c r="R98" s="88"/>
      <c r="Y98" s="87"/>
    </row>
    <row r="99" spans="14:25" x14ac:dyDescent="0.25">
      <c r="Q99" s="87"/>
      <c r="R99" s="88"/>
      <c r="Y99" s="87"/>
    </row>
    <row r="100" spans="14:25" x14ac:dyDescent="0.25">
      <c r="Q100" s="87"/>
      <c r="R100" s="88"/>
      <c r="Y100" s="87"/>
    </row>
    <row r="101" spans="14:25" x14ac:dyDescent="0.25">
      <c r="N101" s="87"/>
      <c r="O101" s="88"/>
      <c r="V101" s="87"/>
    </row>
    <row r="102" spans="14:25" x14ac:dyDescent="0.25">
      <c r="O102" s="87"/>
      <c r="P102" s="88"/>
      <c r="Q102" s="87"/>
      <c r="R102" s="88"/>
      <c r="X102" s="87"/>
      <c r="Y102" s="87"/>
    </row>
    <row r="103" spans="14:25" x14ac:dyDescent="0.25">
      <c r="O103" s="87"/>
      <c r="P103" s="88"/>
      <c r="Q103" s="87"/>
      <c r="R103" s="88"/>
      <c r="X103" s="87"/>
      <c r="Y103" s="87"/>
    </row>
    <row r="104" spans="14:25" x14ac:dyDescent="0.25">
      <c r="N104" s="87"/>
      <c r="O104" s="88"/>
      <c r="P104" s="87"/>
      <c r="Q104" s="88"/>
      <c r="W104" s="87"/>
      <c r="X104" s="87"/>
    </row>
    <row r="105" spans="14:25" x14ac:dyDescent="0.25">
      <c r="N105" s="87"/>
      <c r="O105" s="88"/>
      <c r="V105" s="87"/>
    </row>
    <row r="106" spans="14:25" x14ac:dyDescent="0.25">
      <c r="N106" s="87"/>
      <c r="O106" s="88"/>
      <c r="V106" s="87"/>
    </row>
    <row r="107" spans="14:25" x14ac:dyDescent="0.25">
      <c r="N107" s="87"/>
      <c r="O107" s="88"/>
      <c r="V107" s="87"/>
    </row>
    <row r="108" spans="14:25" x14ac:dyDescent="0.25">
      <c r="N108" s="87"/>
      <c r="O108" s="88"/>
      <c r="P108" s="87"/>
      <c r="Q108" s="88"/>
      <c r="W108" s="87"/>
      <c r="X108" s="87"/>
    </row>
    <row r="109" spans="14:25" x14ac:dyDescent="0.25">
      <c r="N109" s="87"/>
      <c r="O109" s="88"/>
      <c r="V109" s="87"/>
    </row>
    <row r="110" spans="14:25" x14ac:dyDescent="0.25">
      <c r="N110" s="87"/>
      <c r="O110" s="88"/>
      <c r="P110" s="87"/>
      <c r="Q110" s="88"/>
      <c r="W110" s="87"/>
      <c r="X110" s="87"/>
    </row>
    <row r="111" spans="14:25" x14ac:dyDescent="0.25">
      <c r="Q111" s="87"/>
      <c r="R111" s="88"/>
      <c r="Y111" s="87"/>
    </row>
    <row r="112" spans="14:25" x14ac:dyDescent="0.25">
      <c r="Q112" s="87"/>
      <c r="R112" s="88"/>
      <c r="Y112" s="87"/>
    </row>
    <row r="113" spans="13:25" x14ac:dyDescent="0.25">
      <c r="N113" s="87"/>
      <c r="O113" s="88"/>
      <c r="P113" s="87"/>
      <c r="Q113" s="88"/>
      <c r="W113" s="87"/>
      <c r="X113" s="87"/>
    </row>
    <row r="114" spans="13:25" x14ac:dyDescent="0.25">
      <c r="Q114" s="87"/>
      <c r="R114" s="88"/>
      <c r="Y114" s="87"/>
    </row>
    <row r="115" spans="13:25" x14ac:dyDescent="0.25">
      <c r="Q115" s="87"/>
      <c r="R115" s="88"/>
      <c r="Y115" s="87"/>
    </row>
    <row r="116" spans="13:25" x14ac:dyDescent="0.25">
      <c r="M116" s="87"/>
      <c r="N116" s="88"/>
      <c r="O116" s="87"/>
      <c r="P116" s="88"/>
      <c r="V116" s="87"/>
      <c r="W116" s="87"/>
    </row>
    <row r="117" spans="13:25" x14ac:dyDescent="0.25">
      <c r="N117" s="87"/>
      <c r="O117" s="88"/>
      <c r="V117" s="87"/>
    </row>
    <row r="118" spans="13:25" x14ac:dyDescent="0.25">
      <c r="N118" s="87"/>
      <c r="O118" s="88"/>
      <c r="V118" s="87"/>
    </row>
    <row r="119" spans="13:25" x14ac:dyDescent="0.25">
      <c r="N119" s="87"/>
      <c r="O119" s="88"/>
      <c r="V119" s="87"/>
    </row>
    <row r="120" spans="13:25" x14ac:dyDescent="0.25">
      <c r="Q120" s="87"/>
      <c r="R120" s="88"/>
      <c r="Y120" s="87"/>
    </row>
    <row r="121" spans="13:25" x14ac:dyDescent="0.25">
      <c r="N121" s="87"/>
      <c r="O121" s="88"/>
      <c r="V121" s="87"/>
    </row>
    <row r="122" spans="13:25" x14ac:dyDescent="0.25">
      <c r="Q122" s="87"/>
      <c r="R122" s="88"/>
      <c r="Y122" s="87"/>
    </row>
    <row r="123" spans="13:25" x14ac:dyDescent="0.25">
      <c r="Q123" s="87"/>
      <c r="R123" s="88"/>
      <c r="Y123" s="87"/>
    </row>
    <row r="124" spans="13:25" x14ac:dyDescent="0.25">
      <c r="Q124" s="87"/>
      <c r="R124" s="88"/>
      <c r="Y124" s="87"/>
    </row>
    <row r="125" spans="13:25" x14ac:dyDescent="0.25">
      <c r="Q125" s="87"/>
      <c r="R125" s="88"/>
      <c r="Y125" s="87"/>
    </row>
    <row r="126" spans="13:25" x14ac:dyDescent="0.25">
      <c r="Q126" s="87"/>
      <c r="R126" s="88"/>
      <c r="Y126" s="87"/>
    </row>
    <row r="127" spans="13:25" x14ac:dyDescent="0.25">
      <c r="N127" s="87"/>
      <c r="O127" s="88"/>
      <c r="V127" s="87"/>
    </row>
    <row r="128" spans="13:25" x14ac:dyDescent="0.25">
      <c r="N128" s="87"/>
      <c r="O128" s="88"/>
      <c r="V128" s="87"/>
    </row>
    <row r="129" spans="12:25" x14ac:dyDescent="0.25">
      <c r="Q129" s="87"/>
      <c r="R129" s="88"/>
      <c r="Y129" s="87"/>
    </row>
    <row r="130" spans="12:25" x14ac:dyDescent="0.25">
      <c r="N130" s="87"/>
      <c r="O130" s="88"/>
      <c r="V130" s="87"/>
    </row>
    <row r="131" spans="12:25" x14ac:dyDescent="0.25">
      <c r="Q131" s="87"/>
      <c r="R131" s="88"/>
      <c r="Y131" s="87"/>
    </row>
    <row r="132" spans="12:25" x14ac:dyDescent="0.25">
      <c r="N132" s="87"/>
      <c r="O132" s="88"/>
      <c r="V132" s="87"/>
    </row>
    <row r="133" spans="12:25" x14ac:dyDescent="0.25">
      <c r="N133" s="87"/>
      <c r="O133" s="88"/>
      <c r="V133" s="87"/>
    </row>
    <row r="134" spans="12:25" x14ac:dyDescent="0.25">
      <c r="N134" s="87"/>
      <c r="O134" s="88"/>
      <c r="V134" s="87"/>
    </row>
    <row r="135" spans="12:25" x14ac:dyDescent="0.25">
      <c r="N135" s="87"/>
      <c r="O135" s="88"/>
      <c r="V135" s="87"/>
    </row>
    <row r="136" spans="12:25" x14ac:dyDescent="0.25">
      <c r="N136" s="87"/>
      <c r="O136" s="88"/>
      <c r="V136" s="87"/>
    </row>
    <row r="137" spans="12:25" x14ac:dyDescent="0.25">
      <c r="M137" s="87"/>
      <c r="N137" s="88"/>
      <c r="O137" s="87"/>
      <c r="P137" s="88"/>
      <c r="V137" s="87"/>
      <c r="W137" s="87"/>
    </row>
    <row r="138" spans="12:25" x14ac:dyDescent="0.25">
      <c r="N138" s="87"/>
      <c r="O138" s="88"/>
      <c r="V138" s="87"/>
    </row>
    <row r="139" spans="12:25" x14ac:dyDescent="0.25">
      <c r="L139" s="87"/>
      <c r="M139" s="88"/>
      <c r="N139" s="87"/>
      <c r="O139" s="88"/>
      <c r="U139" s="87"/>
      <c r="V139" s="87"/>
    </row>
    <row r="140" spans="12:25" x14ac:dyDescent="0.25">
      <c r="N140" s="87"/>
      <c r="O140" s="88"/>
      <c r="V140" s="87"/>
    </row>
    <row r="141" spans="12:25" x14ac:dyDescent="0.25">
      <c r="N141" s="87"/>
      <c r="O141" s="88"/>
      <c r="V141" s="87"/>
    </row>
    <row r="142" spans="12:25" x14ac:dyDescent="0.25">
      <c r="N142" s="87"/>
      <c r="O142" s="88"/>
      <c r="V142" s="87"/>
    </row>
    <row r="143" spans="12:25" x14ac:dyDescent="0.25">
      <c r="N143" s="87"/>
      <c r="O143" s="88"/>
      <c r="V143" s="87"/>
    </row>
    <row r="144" spans="12:25" x14ac:dyDescent="0.25">
      <c r="N144" s="87"/>
      <c r="O144" s="88"/>
      <c r="V144" s="87"/>
    </row>
    <row r="145" spans="14:25" x14ac:dyDescent="0.25">
      <c r="N145" s="87"/>
      <c r="O145" s="88"/>
      <c r="V145" s="87"/>
    </row>
    <row r="146" spans="14:25" x14ac:dyDescent="0.25">
      <c r="N146" s="87"/>
      <c r="O146" s="88"/>
      <c r="V146" s="87"/>
    </row>
    <row r="147" spans="14:25" x14ac:dyDescent="0.25">
      <c r="N147" s="87"/>
      <c r="O147" s="88"/>
      <c r="V147" s="87"/>
    </row>
    <row r="148" spans="14:25" x14ac:dyDescent="0.25">
      <c r="N148" s="87"/>
      <c r="O148" s="88"/>
      <c r="V148" s="87"/>
    </row>
    <row r="149" spans="14:25" x14ac:dyDescent="0.25">
      <c r="N149" s="87"/>
      <c r="O149" s="88"/>
      <c r="V149" s="87"/>
    </row>
    <row r="150" spans="14:25" x14ac:dyDescent="0.25">
      <c r="N150" s="87"/>
      <c r="O150" s="88"/>
      <c r="V150" s="87"/>
    </row>
    <row r="151" spans="14:25" x14ac:dyDescent="0.25">
      <c r="N151" s="87"/>
      <c r="O151" s="88"/>
      <c r="V151" s="87"/>
    </row>
    <row r="152" spans="14:25" x14ac:dyDescent="0.25">
      <c r="N152" s="87"/>
      <c r="O152" s="88"/>
      <c r="V152" s="87"/>
    </row>
    <row r="153" spans="14:25" x14ac:dyDescent="0.25">
      <c r="N153" s="87"/>
      <c r="O153" s="88"/>
      <c r="V153" s="87"/>
    </row>
    <row r="154" spans="14:25" x14ac:dyDescent="0.25">
      <c r="Q154" s="87"/>
      <c r="R154" s="88"/>
      <c r="Y154" s="87"/>
    </row>
    <row r="155" spans="14:25" x14ac:dyDescent="0.25">
      <c r="Q155" s="87"/>
      <c r="R155" s="88"/>
      <c r="Y155" s="87"/>
    </row>
    <row r="156" spans="14:25" x14ac:dyDescent="0.25">
      <c r="Q156" s="87"/>
      <c r="R156" s="88"/>
      <c r="Y156" s="87"/>
    </row>
    <row r="157" spans="14:25" x14ac:dyDescent="0.25">
      <c r="Q157" s="87"/>
      <c r="R157" s="88"/>
      <c r="Y157" s="87"/>
    </row>
    <row r="158" spans="14:25" x14ac:dyDescent="0.25">
      <c r="N158" s="87"/>
      <c r="O158" s="88"/>
      <c r="V158" s="87"/>
    </row>
    <row r="159" spans="14:25" x14ac:dyDescent="0.25">
      <c r="N159" s="87"/>
      <c r="O159" s="88"/>
      <c r="V159" s="87"/>
    </row>
    <row r="160" spans="14:25" x14ac:dyDescent="0.25">
      <c r="N160" s="87"/>
      <c r="O160" s="88"/>
      <c r="V160" s="87"/>
    </row>
    <row r="161" spans="13:25" x14ac:dyDescent="0.25">
      <c r="N161" s="87"/>
      <c r="O161" s="88"/>
      <c r="P161" s="87"/>
      <c r="Q161" s="88"/>
      <c r="W161" s="87"/>
      <c r="X161" s="87"/>
    </row>
    <row r="162" spans="13:25" x14ac:dyDescent="0.25">
      <c r="Q162" s="87"/>
      <c r="R162" s="88"/>
      <c r="Y162" s="87"/>
    </row>
    <row r="163" spans="13:25" x14ac:dyDescent="0.25">
      <c r="Q163" s="87"/>
      <c r="R163" s="88"/>
      <c r="Y163" s="87"/>
    </row>
    <row r="164" spans="13:25" x14ac:dyDescent="0.25">
      <c r="Q164" s="87"/>
      <c r="R164" s="88"/>
      <c r="Y164" s="87"/>
    </row>
    <row r="165" spans="13:25" x14ac:dyDescent="0.25">
      <c r="M165" s="87"/>
      <c r="N165" s="88"/>
      <c r="U165" s="87"/>
    </row>
    <row r="166" spans="13:25" x14ac:dyDescent="0.25">
      <c r="Q166" s="87"/>
      <c r="R166" s="88"/>
      <c r="Y166" s="87"/>
    </row>
    <row r="167" spans="13:25" x14ac:dyDescent="0.25">
      <c r="N167" s="87"/>
      <c r="O167" s="88"/>
      <c r="P167" s="87"/>
      <c r="Q167" s="88"/>
      <c r="W167" s="87"/>
      <c r="X167" s="87"/>
    </row>
    <row r="168" spans="13:25" x14ac:dyDescent="0.25">
      <c r="M168" s="87"/>
      <c r="N168" s="88"/>
      <c r="U168" s="87"/>
    </row>
    <row r="169" spans="13:25" x14ac:dyDescent="0.25">
      <c r="N169" s="87"/>
      <c r="O169" s="88"/>
      <c r="P169" s="87"/>
      <c r="Q169" s="88"/>
      <c r="W169" s="87"/>
      <c r="X169" s="87"/>
    </row>
    <row r="170" spans="13:25" x14ac:dyDescent="0.25">
      <c r="P170" s="87"/>
      <c r="Q170" s="88"/>
      <c r="X170" s="87"/>
    </row>
    <row r="171" spans="13:25" x14ac:dyDescent="0.25">
      <c r="Q171" s="87"/>
      <c r="R171" s="88"/>
      <c r="Y171" s="87"/>
    </row>
    <row r="172" spans="13:25" x14ac:dyDescent="0.25">
      <c r="N172" s="87"/>
      <c r="O172" s="88"/>
      <c r="V172" s="87"/>
    </row>
    <row r="173" spans="13:25" x14ac:dyDescent="0.25">
      <c r="N173" s="87"/>
      <c r="O173" s="88"/>
      <c r="V173" s="87"/>
    </row>
    <row r="174" spans="13:25" x14ac:dyDescent="0.25">
      <c r="N174" s="87"/>
      <c r="O174" s="88"/>
      <c r="V174" s="87"/>
    </row>
    <row r="175" spans="13:25" x14ac:dyDescent="0.25">
      <c r="N175" s="87"/>
      <c r="O175" s="88"/>
      <c r="V175" s="87"/>
    </row>
    <row r="176" spans="13:25" x14ac:dyDescent="0.25">
      <c r="N176" s="87"/>
      <c r="O176" s="88"/>
      <c r="V176" s="87"/>
    </row>
    <row r="177" spans="14:25" x14ac:dyDescent="0.25">
      <c r="N177" s="87"/>
      <c r="O177" s="88"/>
      <c r="V177" s="87"/>
    </row>
    <row r="178" spans="14:25" x14ac:dyDescent="0.25">
      <c r="N178" s="87"/>
      <c r="O178" s="88"/>
      <c r="V178" s="87"/>
    </row>
    <row r="179" spans="14:25" x14ac:dyDescent="0.25">
      <c r="Q179" s="87"/>
      <c r="R179" s="88"/>
      <c r="Y179" s="87"/>
    </row>
    <row r="180" spans="14:25" x14ac:dyDescent="0.25">
      <c r="N180" s="87"/>
      <c r="O180" s="88"/>
      <c r="V180" s="87"/>
    </row>
    <row r="181" spans="14:25" x14ac:dyDescent="0.25">
      <c r="N181" s="87"/>
      <c r="O181" s="88"/>
      <c r="V181" s="87"/>
    </row>
    <row r="182" spans="14:25" x14ac:dyDescent="0.25">
      <c r="N182" s="87"/>
      <c r="O182" s="88"/>
      <c r="V182" s="87"/>
    </row>
    <row r="183" spans="14:25" x14ac:dyDescent="0.25">
      <c r="N183" s="87"/>
      <c r="O183" s="88"/>
      <c r="V183" s="87"/>
    </row>
    <row r="184" spans="14:25" x14ac:dyDescent="0.25">
      <c r="N184" s="87"/>
      <c r="O184" s="88"/>
      <c r="V184" s="87"/>
    </row>
    <row r="185" spans="14:25" x14ac:dyDescent="0.25">
      <c r="N185" s="87"/>
      <c r="O185" s="88"/>
      <c r="P185" s="87"/>
      <c r="Q185" s="88"/>
      <c r="W185" s="87"/>
      <c r="X185" s="87"/>
    </row>
    <row r="186" spans="14:25" x14ac:dyDescent="0.25">
      <c r="N186" s="87"/>
      <c r="O186" s="88"/>
      <c r="P186" s="87"/>
      <c r="Q186" s="88"/>
      <c r="W186" s="87"/>
      <c r="X186" s="87"/>
    </row>
    <row r="187" spans="14:25" x14ac:dyDescent="0.25">
      <c r="N187" s="87"/>
      <c r="O187" s="88"/>
      <c r="P187" s="87"/>
      <c r="Q187" s="88"/>
      <c r="W187" s="87"/>
      <c r="X187" s="87"/>
    </row>
    <row r="188" spans="14:25" x14ac:dyDescent="0.25">
      <c r="N188" s="87"/>
      <c r="O188" s="88"/>
      <c r="P188" s="87"/>
      <c r="Q188" s="88"/>
      <c r="W188" s="87"/>
      <c r="X188" s="87"/>
    </row>
    <row r="189" spans="14:25" x14ac:dyDescent="0.25">
      <c r="N189" s="87"/>
      <c r="O189" s="88"/>
      <c r="V189" s="87"/>
    </row>
    <row r="190" spans="14:25" x14ac:dyDescent="0.25">
      <c r="N190" s="87"/>
      <c r="O190" s="88"/>
      <c r="V190" s="87"/>
    </row>
    <row r="191" spans="14:25" x14ac:dyDescent="0.25">
      <c r="Q191" s="87"/>
      <c r="R191" s="88"/>
      <c r="Y191" s="87"/>
    </row>
    <row r="192" spans="14:25" x14ac:dyDescent="0.25">
      <c r="N192" s="87"/>
      <c r="O192" s="88"/>
      <c r="V192" s="87"/>
    </row>
    <row r="193" spans="14:25" x14ac:dyDescent="0.25">
      <c r="Q193" s="87"/>
      <c r="R193" s="88"/>
      <c r="Y193" s="87"/>
    </row>
    <row r="194" spans="14:25" x14ac:dyDescent="0.25">
      <c r="N194" s="87"/>
      <c r="O194" s="88"/>
      <c r="P194" s="87"/>
      <c r="Q194" s="88"/>
      <c r="W194" s="87"/>
      <c r="X194" s="87"/>
    </row>
    <row r="195" spans="14:25" x14ac:dyDescent="0.25">
      <c r="N195" s="87"/>
      <c r="O195" s="88"/>
      <c r="P195" s="87"/>
      <c r="Q195" s="88"/>
      <c r="W195" s="87"/>
      <c r="X195" s="87"/>
    </row>
    <row r="196" spans="14:25" x14ac:dyDescent="0.25">
      <c r="Q196" s="87"/>
      <c r="R196" s="88"/>
      <c r="Y196" s="87"/>
    </row>
    <row r="197" spans="14:25" x14ac:dyDescent="0.25">
      <c r="N197" s="87"/>
      <c r="O197" s="88"/>
      <c r="P197" s="87"/>
      <c r="Q197" s="88"/>
      <c r="W197" s="87"/>
      <c r="X197" s="87"/>
    </row>
    <row r="198" spans="14:25" x14ac:dyDescent="0.25">
      <c r="O198" s="87"/>
      <c r="P198" s="88"/>
      <c r="W198" s="87"/>
    </row>
    <row r="199" spans="14:25" x14ac:dyDescent="0.25">
      <c r="N199" s="87"/>
      <c r="O199" s="88"/>
      <c r="P199" s="87"/>
      <c r="Q199" s="88"/>
      <c r="W199" s="87"/>
      <c r="X199" s="87"/>
    </row>
    <row r="200" spans="14:25" x14ac:dyDescent="0.25">
      <c r="O200" s="87"/>
      <c r="P200" s="88"/>
      <c r="W200" s="87"/>
    </row>
    <row r="201" spans="14:25" x14ac:dyDescent="0.25">
      <c r="N201" s="87"/>
      <c r="O201" s="88"/>
      <c r="V201" s="87"/>
    </row>
    <row r="202" spans="14:25" x14ac:dyDescent="0.25">
      <c r="O202" s="87"/>
      <c r="P202" s="88"/>
      <c r="Q202" s="87"/>
      <c r="R202" s="88"/>
      <c r="X202" s="87"/>
      <c r="Y202" s="87"/>
    </row>
    <row r="203" spans="14:25" x14ac:dyDescent="0.25">
      <c r="O203" s="87"/>
      <c r="P203" s="88"/>
      <c r="Q203" s="87"/>
      <c r="R203" s="88"/>
      <c r="X203" s="87"/>
      <c r="Y203" s="87"/>
    </row>
    <row r="204" spans="14:25" x14ac:dyDescent="0.25">
      <c r="O204" s="87"/>
      <c r="P204" s="88"/>
      <c r="Q204" s="87"/>
      <c r="R204" s="88"/>
      <c r="X204" s="87"/>
      <c r="Y204" s="87"/>
    </row>
    <row r="205" spans="14:25" x14ac:dyDescent="0.25">
      <c r="O205" s="87"/>
      <c r="P205" s="88"/>
      <c r="W205" s="87"/>
    </row>
    <row r="206" spans="14:25" x14ac:dyDescent="0.25">
      <c r="N206" s="87"/>
      <c r="O206" s="88"/>
      <c r="P206" s="87"/>
      <c r="Q206" s="88"/>
      <c r="W206" s="87"/>
      <c r="X206" s="87"/>
    </row>
    <row r="207" spans="14:25" x14ac:dyDescent="0.25">
      <c r="N207" s="87"/>
      <c r="O207" s="88"/>
      <c r="V207" s="87"/>
    </row>
    <row r="208" spans="14:25" x14ac:dyDescent="0.25">
      <c r="N208" s="87"/>
      <c r="O208" s="88"/>
      <c r="P208" s="87"/>
      <c r="Q208" s="88"/>
      <c r="W208" s="87"/>
      <c r="X208" s="87"/>
    </row>
    <row r="209" spans="14:25" x14ac:dyDescent="0.25">
      <c r="N209" s="87"/>
      <c r="O209" s="88"/>
      <c r="P209" s="87"/>
      <c r="Q209" s="88"/>
      <c r="W209" s="87"/>
      <c r="X209" s="87"/>
    </row>
    <row r="210" spans="14:25" x14ac:dyDescent="0.25">
      <c r="N210" s="87"/>
      <c r="O210" s="88"/>
      <c r="P210" s="87"/>
      <c r="Q210" s="88"/>
      <c r="W210" s="87"/>
      <c r="X210" s="87"/>
    </row>
    <row r="211" spans="14:25" x14ac:dyDescent="0.25">
      <c r="N211" s="87"/>
      <c r="O211" s="88"/>
      <c r="V211" s="87"/>
    </row>
    <row r="212" spans="14:25" x14ac:dyDescent="0.25">
      <c r="P212" s="87"/>
      <c r="Q212" s="88"/>
      <c r="X212" s="87"/>
    </row>
    <row r="213" spans="14:25" x14ac:dyDescent="0.25">
      <c r="O213" s="87"/>
      <c r="P213" s="88"/>
      <c r="W213" s="87"/>
    </row>
    <row r="214" spans="14:25" x14ac:dyDescent="0.25">
      <c r="O214" s="87"/>
      <c r="P214" s="88"/>
      <c r="W214" s="87"/>
    </row>
    <row r="215" spans="14:25" x14ac:dyDescent="0.25">
      <c r="O215" s="87"/>
      <c r="P215" s="88"/>
      <c r="W215" s="87"/>
    </row>
    <row r="216" spans="14:25" x14ac:dyDescent="0.25">
      <c r="N216" s="87"/>
      <c r="O216" s="88"/>
      <c r="V216" s="87"/>
    </row>
    <row r="217" spans="14:25" x14ac:dyDescent="0.25">
      <c r="O217" s="87"/>
      <c r="P217" s="88"/>
      <c r="W217" s="87"/>
    </row>
    <row r="218" spans="14:25" x14ac:dyDescent="0.25">
      <c r="N218" s="87"/>
      <c r="O218" s="88"/>
      <c r="V218" s="87"/>
    </row>
    <row r="219" spans="14:25" x14ac:dyDescent="0.25">
      <c r="N219" s="87"/>
      <c r="O219" s="88"/>
      <c r="V219" s="87"/>
    </row>
    <row r="220" spans="14:25" x14ac:dyDescent="0.25">
      <c r="O220" s="87"/>
      <c r="P220" s="88"/>
      <c r="W220" s="87"/>
    </row>
    <row r="221" spans="14:25" x14ac:dyDescent="0.25">
      <c r="Q221" s="87"/>
      <c r="R221" s="88"/>
      <c r="Y221" s="87"/>
    </row>
    <row r="222" spans="14:25" x14ac:dyDescent="0.25">
      <c r="N222" s="87"/>
      <c r="O222" s="88"/>
      <c r="V222" s="87"/>
    </row>
    <row r="223" spans="14:25" x14ac:dyDescent="0.25">
      <c r="O223" s="87"/>
      <c r="P223" s="88"/>
      <c r="W223" s="87"/>
    </row>
    <row r="224" spans="14:25" x14ac:dyDescent="0.25">
      <c r="N224" s="87"/>
      <c r="O224" s="88"/>
      <c r="P224" s="87"/>
      <c r="Q224" s="88"/>
      <c r="W224" s="87"/>
      <c r="X224" s="87"/>
    </row>
    <row r="225" spans="14:25" x14ac:dyDescent="0.25">
      <c r="O225" s="87"/>
      <c r="P225" s="88"/>
      <c r="Q225" s="87"/>
      <c r="R225" s="88"/>
      <c r="X225" s="87"/>
      <c r="Y225" s="87"/>
    </row>
    <row r="226" spans="14:25" x14ac:dyDescent="0.25">
      <c r="O226" s="87"/>
      <c r="P226" s="88"/>
      <c r="W226" s="87"/>
    </row>
    <row r="227" spans="14:25" x14ac:dyDescent="0.25">
      <c r="N227" s="87"/>
      <c r="O227" s="88"/>
      <c r="V227" s="87"/>
    </row>
    <row r="228" spans="14:25" x14ac:dyDescent="0.25">
      <c r="N228" s="87"/>
      <c r="O228" s="88"/>
      <c r="V228" s="87"/>
    </row>
    <row r="229" spans="14:25" x14ac:dyDescent="0.25">
      <c r="N229" s="87"/>
      <c r="O229" s="88"/>
      <c r="V229" s="87"/>
    </row>
    <row r="230" spans="14:25" x14ac:dyDescent="0.25">
      <c r="N230" s="87"/>
      <c r="O230" s="88"/>
      <c r="V230" s="87"/>
    </row>
    <row r="231" spans="14:25" x14ac:dyDescent="0.25">
      <c r="N231" s="87"/>
      <c r="O231" s="88"/>
      <c r="V231" s="87"/>
    </row>
    <row r="232" spans="14:25" x14ac:dyDescent="0.25">
      <c r="N232" s="87"/>
      <c r="O232" s="88"/>
      <c r="V232" s="87"/>
    </row>
    <row r="233" spans="14:25" x14ac:dyDescent="0.25">
      <c r="N233" s="87"/>
      <c r="O233" s="88"/>
      <c r="V233" s="87"/>
    </row>
    <row r="234" spans="14:25" x14ac:dyDescent="0.25">
      <c r="N234" s="87"/>
      <c r="O234" s="88"/>
      <c r="V234" s="87"/>
    </row>
    <row r="235" spans="14:25" x14ac:dyDescent="0.25">
      <c r="N235" s="87"/>
      <c r="O235" s="88"/>
      <c r="V235" s="87"/>
    </row>
    <row r="236" spans="14:25" x14ac:dyDescent="0.25">
      <c r="N236" s="87"/>
      <c r="O236" s="88"/>
      <c r="V236" s="87"/>
    </row>
    <row r="237" spans="14:25" x14ac:dyDescent="0.25">
      <c r="Q237" s="87"/>
      <c r="R237" s="88"/>
      <c r="Y237" s="87"/>
    </row>
    <row r="238" spans="14:25" x14ac:dyDescent="0.25">
      <c r="N238" s="87"/>
      <c r="O238" s="88"/>
      <c r="V238" s="87"/>
    </row>
    <row r="239" spans="14:25" x14ac:dyDescent="0.25">
      <c r="N239" s="87"/>
      <c r="O239" s="88"/>
      <c r="V239" s="87"/>
    </row>
    <row r="240" spans="14:25" x14ac:dyDescent="0.25">
      <c r="N240" s="87"/>
      <c r="O240" s="88"/>
      <c r="V240" s="87"/>
    </row>
    <row r="241" spans="14:25" x14ac:dyDescent="0.25">
      <c r="N241" s="87"/>
      <c r="O241" s="88"/>
      <c r="V241" s="87"/>
    </row>
    <row r="242" spans="14:25" x14ac:dyDescent="0.25">
      <c r="N242" s="87"/>
      <c r="O242" s="88"/>
      <c r="P242" s="87"/>
      <c r="Q242" s="88"/>
      <c r="W242" s="87"/>
      <c r="X242" s="87"/>
    </row>
    <row r="243" spans="14:25" x14ac:dyDescent="0.25">
      <c r="N243" s="87"/>
      <c r="O243" s="88"/>
      <c r="V243" s="87"/>
    </row>
    <row r="244" spans="14:25" x14ac:dyDescent="0.25">
      <c r="Q244" s="87"/>
      <c r="R244" s="88"/>
      <c r="Y244" s="87"/>
    </row>
    <row r="245" spans="14:25" x14ac:dyDescent="0.25">
      <c r="O245" s="87"/>
      <c r="P245" s="88"/>
      <c r="Q245" s="87"/>
      <c r="R245" s="88"/>
      <c r="X245" s="87"/>
      <c r="Y245" s="87"/>
    </row>
    <row r="246" spans="14:25" x14ac:dyDescent="0.25">
      <c r="Q246" s="87"/>
      <c r="R246" s="88"/>
      <c r="Y246" s="87"/>
    </row>
    <row r="247" spans="14:25" x14ac:dyDescent="0.25">
      <c r="N247" s="87"/>
      <c r="O247" s="88"/>
      <c r="V247" s="87"/>
    </row>
    <row r="248" spans="14:25" x14ac:dyDescent="0.25">
      <c r="Q248" s="87"/>
      <c r="R248" s="88"/>
      <c r="Y248" s="87"/>
    </row>
    <row r="249" spans="14:25" x14ac:dyDescent="0.25">
      <c r="Q249" s="87"/>
      <c r="R249" s="88"/>
      <c r="Y249" s="87"/>
    </row>
    <row r="250" spans="14:25" x14ac:dyDescent="0.25">
      <c r="Q250" s="87"/>
      <c r="R250" s="88"/>
      <c r="Y250" s="87"/>
    </row>
    <row r="251" spans="14:25" x14ac:dyDescent="0.25">
      <c r="Q251" s="87"/>
      <c r="R251" s="88"/>
      <c r="Y251" s="87"/>
    </row>
    <row r="252" spans="14:25" x14ac:dyDescent="0.25">
      <c r="N252" s="87"/>
      <c r="O252" s="88"/>
      <c r="V252" s="87"/>
    </row>
    <row r="253" spans="14:25" x14ac:dyDescent="0.25">
      <c r="Q253" s="87"/>
      <c r="R253" s="88"/>
      <c r="Y253" s="87"/>
    </row>
    <row r="254" spans="14:25" x14ac:dyDescent="0.25">
      <c r="N254" s="87"/>
      <c r="O254" s="88"/>
      <c r="P254" s="87"/>
      <c r="Q254" s="88"/>
      <c r="W254" s="87"/>
      <c r="X254" s="87"/>
    </row>
    <row r="255" spans="14:25" x14ac:dyDescent="0.25">
      <c r="O255" s="87"/>
      <c r="P255" s="88"/>
      <c r="Q255" s="87"/>
      <c r="R255" s="88"/>
      <c r="X255" s="87"/>
      <c r="Y255" s="87"/>
    </row>
    <row r="256" spans="14:25" x14ac:dyDescent="0.25">
      <c r="O256" s="87"/>
      <c r="P256" s="88"/>
      <c r="W256" s="87"/>
    </row>
    <row r="257" spans="14:23" x14ac:dyDescent="0.25">
      <c r="N257" s="87"/>
      <c r="O257" s="88"/>
      <c r="V257" s="87"/>
    </row>
    <row r="258" spans="14:23" x14ac:dyDescent="0.25">
      <c r="N258" s="87"/>
      <c r="O258" s="88"/>
      <c r="V258" s="87"/>
    </row>
    <row r="259" spans="14:23" x14ac:dyDescent="0.25">
      <c r="N259" s="87"/>
      <c r="O259" s="88"/>
      <c r="V259" s="87"/>
    </row>
    <row r="260" spans="14:23" x14ac:dyDescent="0.25">
      <c r="N260" s="87"/>
      <c r="O260" s="88"/>
      <c r="V260" s="87"/>
    </row>
    <row r="261" spans="14:23" x14ac:dyDescent="0.25">
      <c r="N261" s="87"/>
      <c r="O261" s="88"/>
      <c r="V261" s="87"/>
    </row>
    <row r="262" spans="14:23" x14ac:dyDescent="0.25">
      <c r="N262" s="87"/>
      <c r="O262" s="88"/>
      <c r="V262" s="87"/>
    </row>
    <row r="263" spans="14:23" x14ac:dyDescent="0.25">
      <c r="N263" s="87"/>
      <c r="O263" s="88"/>
      <c r="V263" s="87"/>
    </row>
    <row r="264" spans="14:23" x14ac:dyDescent="0.25">
      <c r="N264" s="87"/>
      <c r="O264" s="88"/>
      <c r="V264" s="87"/>
    </row>
    <row r="265" spans="14:23" x14ac:dyDescent="0.25">
      <c r="N265" s="87"/>
      <c r="O265" s="88"/>
      <c r="V265" s="87"/>
    </row>
    <row r="266" spans="14:23" x14ac:dyDescent="0.25">
      <c r="N266" s="87"/>
      <c r="O266" s="88"/>
      <c r="V266" s="87"/>
    </row>
    <row r="267" spans="14:23" x14ac:dyDescent="0.25">
      <c r="N267" s="87"/>
      <c r="O267" s="88"/>
      <c r="V267" s="87"/>
    </row>
    <row r="268" spans="14:23" x14ac:dyDescent="0.25">
      <c r="N268" s="87"/>
      <c r="O268" s="88"/>
      <c r="V268" s="87"/>
    </row>
    <row r="269" spans="14:23" x14ac:dyDescent="0.25">
      <c r="O269" s="87"/>
      <c r="P269" s="88"/>
      <c r="W269" s="87"/>
    </row>
    <row r="270" spans="14:23" x14ac:dyDescent="0.25">
      <c r="N270" s="87"/>
      <c r="O270" s="88"/>
      <c r="V270" s="87"/>
    </row>
    <row r="271" spans="14:23" x14ac:dyDescent="0.25">
      <c r="O271" s="87"/>
      <c r="P271" s="88"/>
      <c r="W271" s="87"/>
    </row>
    <row r="272" spans="14:23" x14ac:dyDescent="0.25">
      <c r="O272" s="87"/>
      <c r="P272" s="88"/>
      <c r="W272" s="87"/>
    </row>
    <row r="273" spans="13:25" x14ac:dyDescent="0.25">
      <c r="O273" s="87"/>
      <c r="P273" s="88"/>
      <c r="W273" s="87"/>
    </row>
    <row r="274" spans="13:25" x14ac:dyDescent="0.25">
      <c r="O274" s="87"/>
      <c r="P274" s="88"/>
      <c r="W274" s="87"/>
    </row>
    <row r="275" spans="13:25" x14ac:dyDescent="0.25">
      <c r="O275" s="87"/>
      <c r="P275" s="88"/>
      <c r="W275" s="87"/>
    </row>
    <row r="276" spans="13:25" x14ac:dyDescent="0.25">
      <c r="O276" s="87"/>
      <c r="P276" s="88"/>
      <c r="W276" s="87"/>
    </row>
    <row r="277" spans="13:25" x14ac:dyDescent="0.25">
      <c r="O277" s="87"/>
      <c r="P277" s="88"/>
      <c r="W277" s="87"/>
    </row>
    <row r="278" spans="13:25" x14ac:dyDescent="0.25">
      <c r="O278" s="87"/>
      <c r="P278" s="88"/>
      <c r="W278" s="87"/>
    </row>
    <row r="279" spans="13:25" x14ac:dyDescent="0.25">
      <c r="O279" s="87"/>
      <c r="P279" s="88"/>
      <c r="W279" s="87"/>
    </row>
    <row r="280" spans="13:25" x14ac:dyDescent="0.25">
      <c r="O280" s="87"/>
      <c r="P280" s="88"/>
      <c r="W280" s="87"/>
    </row>
    <row r="281" spans="13:25" x14ac:dyDescent="0.25">
      <c r="O281" s="87"/>
      <c r="P281" s="88"/>
      <c r="W281" s="87"/>
    </row>
    <row r="282" spans="13:25" x14ac:dyDescent="0.25">
      <c r="O282" s="87"/>
      <c r="P282" s="88"/>
      <c r="W282" s="87"/>
    </row>
    <row r="283" spans="13:25" x14ac:dyDescent="0.25">
      <c r="N283" s="87"/>
      <c r="O283" s="88"/>
      <c r="V283" s="87"/>
    </row>
    <row r="284" spans="13:25" x14ac:dyDescent="0.25">
      <c r="O284" s="87"/>
      <c r="P284" s="88"/>
      <c r="Q284" s="87"/>
      <c r="R284" s="88"/>
      <c r="X284" s="87"/>
      <c r="Y284" s="87"/>
    </row>
    <row r="285" spans="13:25" x14ac:dyDescent="0.25">
      <c r="N285" s="87"/>
      <c r="O285" s="88"/>
      <c r="V285" s="87"/>
    </row>
    <row r="286" spans="13:25" x14ac:dyDescent="0.25">
      <c r="M286" s="87"/>
      <c r="N286" s="88"/>
      <c r="U286" s="87"/>
    </row>
    <row r="287" spans="13:25" x14ac:dyDescent="0.25">
      <c r="O287" s="87"/>
      <c r="P287" s="88"/>
      <c r="W287" s="87"/>
    </row>
    <row r="288" spans="13:25" x14ac:dyDescent="0.25">
      <c r="M288" s="87"/>
      <c r="N288" s="88"/>
      <c r="U288" s="87"/>
    </row>
    <row r="289" spans="13:27" x14ac:dyDescent="0.25">
      <c r="Q289" s="87"/>
      <c r="R289" s="88"/>
      <c r="Y289" s="87"/>
    </row>
    <row r="290" spans="13:27" x14ac:dyDescent="0.25">
      <c r="M290" s="87"/>
      <c r="N290" s="88"/>
      <c r="U290" s="87"/>
    </row>
    <row r="291" spans="13:27" x14ac:dyDescent="0.25">
      <c r="Q291" s="87"/>
      <c r="R291" s="88"/>
      <c r="S291" s="87"/>
      <c r="T291" s="88"/>
      <c r="Z291" s="87"/>
      <c r="AA291" s="87"/>
    </row>
    <row r="292" spans="13:27" x14ac:dyDescent="0.25">
      <c r="N292" s="87"/>
      <c r="O292" s="88"/>
      <c r="V292" s="87"/>
    </row>
    <row r="293" spans="13:27" x14ac:dyDescent="0.25">
      <c r="N293" s="87"/>
      <c r="O293" s="88"/>
      <c r="V293" s="87"/>
    </row>
    <row r="294" spans="13:27" x14ac:dyDescent="0.25">
      <c r="O294" s="87"/>
      <c r="P294" s="88"/>
      <c r="Q294" s="87"/>
      <c r="R294" s="88"/>
      <c r="X294" s="87"/>
      <c r="Y294" s="87"/>
    </row>
    <row r="295" spans="13:27" x14ac:dyDescent="0.25">
      <c r="Q295" s="87"/>
      <c r="R295" s="88"/>
      <c r="S295" s="87"/>
      <c r="T295" s="88"/>
      <c r="Z295" s="87"/>
      <c r="AA295" s="87"/>
    </row>
    <row r="296" spans="13:27" x14ac:dyDescent="0.25">
      <c r="Q296" s="87"/>
      <c r="R296" s="88"/>
      <c r="S296" s="87"/>
      <c r="T296" s="88"/>
      <c r="Z296" s="87"/>
      <c r="AA296" s="87"/>
    </row>
    <row r="297" spans="13:27" x14ac:dyDescent="0.25">
      <c r="Q297" s="87"/>
      <c r="R297" s="88"/>
      <c r="S297" s="87"/>
      <c r="T297" s="88"/>
      <c r="Z297" s="87"/>
      <c r="AA297" s="87"/>
    </row>
    <row r="298" spans="13:27" x14ac:dyDescent="0.25">
      <c r="O298" s="87"/>
      <c r="P298" s="88"/>
      <c r="Q298" s="87"/>
      <c r="R298" s="88"/>
      <c r="X298" s="87"/>
      <c r="Y298" s="87"/>
    </row>
    <row r="299" spans="13:27" x14ac:dyDescent="0.25">
      <c r="M299" s="87"/>
      <c r="N299" s="88"/>
      <c r="O299" s="87"/>
      <c r="P299" s="88"/>
      <c r="V299" s="87"/>
      <c r="W299" s="87"/>
    </row>
    <row r="300" spans="13:27" x14ac:dyDescent="0.25">
      <c r="N300" s="87"/>
      <c r="O300" s="88"/>
      <c r="P300" s="87"/>
      <c r="Q300" s="88"/>
      <c r="W300" s="87"/>
      <c r="X300" s="87"/>
    </row>
    <row r="301" spans="13:27" x14ac:dyDescent="0.25">
      <c r="N301" s="87"/>
      <c r="O301" s="88"/>
      <c r="P301" s="87"/>
      <c r="Q301" s="88"/>
      <c r="W301" s="87"/>
      <c r="X301" s="87"/>
    </row>
    <row r="302" spans="13:27" x14ac:dyDescent="0.25">
      <c r="O302" s="87"/>
      <c r="P302" s="88"/>
      <c r="W302" s="87"/>
    </row>
    <row r="303" spans="13:27" x14ac:dyDescent="0.25">
      <c r="N303" s="87"/>
      <c r="O303" s="88"/>
      <c r="V303" s="87"/>
    </row>
    <row r="304" spans="13:27" x14ac:dyDescent="0.25">
      <c r="O304" s="87"/>
      <c r="P304" s="88"/>
      <c r="W304" s="87"/>
    </row>
    <row r="305" spans="13:25" x14ac:dyDescent="0.25">
      <c r="O305" s="87"/>
      <c r="P305" s="88"/>
      <c r="W305" s="87"/>
    </row>
    <row r="306" spans="13:25" x14ac:dyDescent="0.25">
      <c r="N306" s="87"/>
      <c r="O306" s="88"/>
      <c r="V306" s="87"/>
    </row>
    <row r="307" spans="13:25" x14ac:dyDescent="0.25">
      <c r="M307" s="87"/>
      <c r="N307" s="88"/>
      <c r="U307" s="87"/>
    </row>
    <row r="308" spans="13:25" x14ac:dyDescent="0.25">
      <c r="N308" s="87"/>
      <c r="O308" s="88"/>
      <c r="V308" s="87"/>
    </row>
    <row r="309" spans="13:25" x14ac:dyDescent="0.25">
      <c r="N309" s="87"/>
      <c r="O309" s="88"/>
      <c r="V309" s="87"/>
    </row>
    <row r="310" spans="13:25" x14ac:dyDescent="0.25">
      <c r="O310" s="87"/>
      <c r="P310" s="88"/>
      <c r="Q310" s="87"/>
      <c r="R310" s="88"/>
      <c r="X310" s="87"/>
      <c r="Y310" s="87"/>
    </row>
    <row r="311" spans="13:25" x14ac:dyDescent="0.25">
      <c r="N311" s="87"/>
      <c r="O311" s="88"/>
      <c r="V311" s="87"/>
    </row>
    <row r="312" spans="13:25" x14ac:dyDescent="0.25">
      <c r="Q312" s="87"/>
      <c r="R312" s="88"/>
      <c r="Y312" s="87"/>
    </row>
    <row r="313" spans="13:25" x14ac:dyDescent="0.25">
      <c r="N313" s="87"/>
      <c r="O313" s="88"/>
      <c r="V313" s="87"/>
    </row>
    <row r="314" spans="13:25" x14ac:dyDescent="0.25">
      <c r="O314" s="87"/>
      <c r="P314" s="88"/>
      <c r="W314" s="87"/>
    </row>
    <row r="315" spans="13:25" x14ac:dyDescent="0.25">
      <c r="N315" s="87"/>
      <c r="O315" s="88"/>
      <c r="V315" s="87"/>
    </row>
    <row r="316" spans="13:25" x14ac:dyDescent="0.25">
      <c r="M316" s="87"/>
      <c r="N316" s="88"/>
      <c r="U316" s="87"/>
    </row>
    <row r="317" spans="13:25" x14ac:dyDescent="0.25">
      <c r="Q317" s="87"/>
      <c r="R317" s="88"/>
      <c r="Y317" s="87"/>
    </row>
    <row r="318" spans="13:25" x14ac:dyDescent="0.25">
      <c r="N318" s="87"/>
      <c r="O318" s="88"/>
      <c r="P318" s="87"/>
      <c r="Q318" s="88"/>
      <c r="W318" s="87"/>
      <c r="X318" s="87"/>
    </row>
    <row r="319" spans="13:25" x14ac:dyDescent="0.25">
      <c r="O319" s="87"/>
      <c r="P319" s="88"/>
      <c r="W319" s="87"/>
    </row>
    <row r="320" spans="13:25" x14ac:dyDescent="0.25">
      <c r="M320" s="87"/>
      <c r="N320" s="88"/>
      <c r="U320" s="87"/>
    </row>
    <row r="321" spans="13:23" x14ac:dyDescent="0.25">
      <c r="N321" s="87"/>
      <c r="O321" s="88"/>
      <c r="V321" s="87"/>
    </row>
    <row r="322" spans="13:23" x14ac:dyDescent="0.25">
      <c r="N322" s="87"/>
      <c r="O322" s="88"/>
      <c r="V322" s="87"/>
    </row>
    <row r="323" spans="13:23" x14ac:dyDescent="0.25">
      <c r="M323" s="87"/>
      <c r="N323" s="88"/>
      <c r="U323" s="87"/>
    </row>
    <row r="324" spans="13:23" x14ac:dyDescent="0.25">
      <c r="N324" s="87"/>
      <c r="O324" s="88"/>
      <c r="V324" s="87"/>
    </row>
    <row r="325" spans="13:23" x14ac:dyDescent="0.25">
      <c r="N325" s="87"/>
      <c r="O325" s="88"/>
      <c r="V325" s="87"/>
    </row>
    <row r="326" spans="13:23" x14ac:dyDescent="0.25">
      <c r="N326" s="87"/>
      <c r="O326" s="88"/>
      <c r="V326" s="87"/>
    </row>
    <row r="327" spans="13:23" x14ac:dyDescent="0.25">
      <c r="O327" s="87"/>
      <c r="P327" s="88"/>
      <c r="W327" s="87"/>
    </row>
    <row r="328" spans="13:23" x14ac:dyDescent="0.25">
      <c r="N328" s="87"/>
      <c r="O328" s="88"/>
      <c r="V328" s="87"/>
    </row>
    <row r="329" spans="13:23" x14ac:dyDescent="0.25">
      <c r="O329" s="87"/>
      <c r="P329" s="88"/>
      <c r="W329" s="87"/>
    </row>
    <row r="330" spans="13:23" x14ac:dyDescent="0.25">
      <c r="O330" s="87"/>
      <c r="P330" s="88"/>
      <c r="W330" s="87"/>
    </row>
    <row r="331" spans="13:23" x14ac:dyDescent="0.25">
      <c r="N331" s="87"/>
      <c r="O331" s="88"/>
      <c r="V331" s="87"/>
    </row>
    <row r="332" spans="13:23" x14ac:dyDescent="0.25">
      <c r="O332" s="87"/>
      <c r="P332" s="88"/>
      <c r="W332" s="87"/>
    </row>
    <row r="333" spans="13:23" x14ac:dyDescent="0.25">
      <c r="O333" s="87"/>
      <c r="P333" s="88"/>
      <c r="W333" s="87"/>
    </row>
    <row r="334" spans="13:23" x14ac:dyDescent="0.25">
      <c r="O334" s="87"/>
      <c r="P334" s="88"/>
      <c r="W334" s="87"/>
    </row>
    <row r="335" spans="13:23" x14ac:dyDescent="0.25">
      <c r="O335" s="87"/>
      <c r="P335" s="88"/>
      <c r="W335" s="87"/>
    </row>
    <row r="336" spans="13:23" x14ac:dyDescent="0.25">
      <c r="O336" s="87"/>
      <c r="P336" s="88"/>
      <c r="W336" s="87"/>
    </row>
    <row r="337" spans="12:23" x14ac:dyDescent="0.25">
      <c r="O337" s="87"/>
      <c r="P337" s="88"/>
      <c r="W337" s="87"/>
    </row>
    <row r="338" spans="12:23" x14ac:dyDescent="0.25">
      <c r="O338" s="87"/>
      <c r="P338" s="88"/>
      <c r="W338" s="87"/>
    </row>
    <row r="339" spans="12:23" x14ac:dyDescent="0.25">
      <c r="O339" s="87"/>
      <c r="P339" s="88"/>
      <c r="W339" s="87"/>
    </row>
    <row r="340" spans="12:23" x14ac:dyDescent="0.25">
      <c r="O340" s="87"/>
      <c r="P340" s="88"/>
      <c r="W340" s="87"/>
    </row>
    <row r="341" spans="12:23" x14ac:dyDescent="0.25">
      <c r="N341" s="87"/>
      <c r="O341" s="88"/>
      <c r="V341" s="87"/>
    </row>
    <row r="342" spans="12:23" x14ac:dyDescent="0.25">
      <c r="N342" s="87"/>
      <c r="O342" s="88"/>
      <c r="V342" s="87"/>
    </row>
    <row r="343" spans="12:23" x14ac:dyDescent="0.25">
      <c r="M343" s="87"/>
      <c r="N343" s="88"/>
      <c r="U343" s="87"/>
    </row>
    <row r="344" spans="12:23" x14ac:dyDescent="0.25">
      <c r="O344" s="87"/>
      <c r="P344" s="88"/>
      <c r="W344" s="87"/>
    </row>
    <row r="345" spans="12:23" x14ac:dyDescent="0.25">
      <c r="N345" s="87"/>
      <c r="O345" s="88"/>
      <c r="V345" s="87"/>
    </row>
    <row r="346" spans="12:23" x14ac:dyDescent="0.25">
      <c r="M346" s="87"/>
      <c r="N346" s="88"/>
      <c r="U346" s="87"/>
    </row>
    <row r="347" spans="12:23" x14ac:dyDescent="0.25">
      <c r="M347" s="87"/>
      <c r="N347" s="88"/>
      <c r="U347" s="87"/>
    </row>
    <row r="348" spans="12:23" x14ac:dyDescent="0.25">
      <c r="M348" s="87"/>
      <c r="N348" s="88"/>
      <c r="U348" s="87"/>
    </row>
    <row r="349" spans="12:23" x14ac:dyDescent="0.25">
      <c r="L349" s="87"/>
      <c r="M349" s="88"/>
      <c r="T349" s="87"/>
    </row>
    <row r="350" spans="12:23" x14ac:dyDescent="0.25">
      <c r="N350" s="87"/>
      <c r="O350" s="88"/>
      <c r="V350" s="87"/>
    </row>
    <row r="351" spans="12:23" x14ac:dyDescent="0.25">
      <c r="N351" s="87"/>
      <c r="O351" s="88"/>
      <c r="V351" s="87"/>
    </row>
    <row r="352" spans="12:23" x14ac:dyDescent="0.25">
      <c r="N352" s="87"/>
      <c r="O352" s="88"/>
      <c r="V352" s="87"/>
    </row>
    <row r="353" spans="13:23" x14ac:dyDescent="0.25">
      <c r="N353" s="87"/>
      <c r="O353" s="88"/>
      <c r="V353" s="87"/>
    </row>
    <row r="354" spans="13:23" x14ac:dyDescent="0.25">
      <c r="M354" s="87"/>
      <c r="N354" s="88"/>
      <c r="U354" s="87"/>
    </row>
    <row r="355" spans="13:23" x14ac:dyDescent="0.25">
      <c r="N355" s="87"/>
      <c r="O355" s="88"/>
      <c r="V355" s="87"/>
    </row>
    <row r="356" spans="13:23" x14ac:dyDescent="0.25">
      <c r="O356" s="87"/>
      <c r="P356" s="88"/>
      <c r="W356" s="87"/>
    </row>
    <row r="357" spans="13:23" x14ac:dyDescent="0.25">
      <c r="O357" s="87"/>
      <c r="P357" s="88"/>
      <c r="W357" s="87"/>
    </row>
    <row r="358" spans="13:23" x14ac:dyDescent="0.25">
      <c r="O358" s="87"/>
      <c r="P358" s="88"/>
      <c r="W358" s="87"/>
    </row>
    <row r="359" spans="13:23" x14ac:dyDescent="0.25">
      <c r="O359" s="87"/>
      <c r="P359" s="88"/>
      <c r="W359" s="87"/>
    </row>
    <row r="360" spans="13:23" x14ac:dyDescent="0.25">
      <c r="O360" s="87"/>
      <c r="P360" s="88"/>
      <c r="W360" s="87"/>
    </row>
    <row r="361" spans="13:23" x14ac:dyDescent="0.25">
      <c r="O361" s="87"/>
      <c r="P361" s="88"/>
      <c r="W361" s="87"/>
    </row>
    <row r="362" spans="13:23" x14ac:dyDescent="0.25">
      <c r="O362" s="87"/>
      <c r="P362" s="88"/>
      <c r="W362" s="87"/>
    </row>
    <row r="363" spans="13:23" x14ac:dyDescent="0.25">
      <c r="O363" s="87"/>
      <c r="P363" s="88"/>
      <c r="W363" s="87"/>
    </row>
    <row r="364" spans="13:23" x14ac:dyDescent="0.25">
      <c r="O364" s="87"/>
      <c r="P364" s="88"/>
      <c r="W364" s="87"/>
    </row>
    <row r="365" spans="13:23" x14ac:dyDescent="0.25">
      <c r="M365" s="87"/>
      <c r="N365" s="88"/>
      <c r="U365" s="87"/>
    </row>
    <row r="366" spans="13:23" x14ac:dyDescent="0.25">
      <c r="M366" s="87"/>
      <c r="N366" s="88"/>
      <c r="U366" s="87"/>
    </row>
    <row r="367" spans="13:23" x14ac:dyDescent="0.25">
      <c r="O367" s="87"/>
      <c r="P367" s="88"/>
      <c r="W367" s="87"/>
    </row>
    <row r="368" spans="13:23" x14ac:dyDescent="0.25">
      <c r="O368" s="87"/>
      <c r="P368" s="88"/>
      <c r="W368" s="87"/>
    </row>
    <row r="369" spans="14:23" x14ac:dyDescent="0.25">
      <c r="N369" s="87"/>
      <c r="O369" s="88"/>
      <c r="V369" s="87"/>
    </row>
    <row r="370" spans="14:23" x14ac:dyDescent="0.25">
      <c r="N370" s="87"/>
      <c r="O370" s="88"/>
      <c r="V370" s="87"/>
    </row>
    <row r="371" spans="14:23" x14ac:dyDescent="0.25">
      <c r="N371" s="87"/>
      <c r="O371" s="88"/>
      <c r="V371" s="87"/>
    </row>
    <row r="372" spans="14:23" x14ac:dyDescent="0.25">
      <c r="O372" s="87"/>
      <c r="P372" s="88"/>
      <c r="W372" s="87"/>
    </row>
    <row r="373" spans="14:23" x14ac:dyDescent="0.25">
      <c r="N373" s="87"/>
      <c r="O373" s="88"/>
      <c r="V373" s="87"/>
    </row>
    <row r="374" spans="14:23" x14ac:dyDescent="0.25">
      <c r="N374" s="87"/>
      <c r="O374" s="88"/>
      <c r="V374" s="87"/>
    </row>
    <row r="375" spans="14:23" x14ac:dyDescent="0.25">
      <c r="O375" s="87"/>
      <c r="P375" s="88"/>
      <c r="W375" s="87"/>
    </row>
    <row r="376" spans="14:23" x14ac:dyDescent="0.25">
      <c r="N376" s="87"/>
      <c r="O376" s="88"/>
      <c r="V376" s="87"/>
    </row>
    <row r="377" spans="14:23" x14ac:dyDescent="0.25">
      <c r="O377" s="87"/>
      <c r="P377" s="88"/>
      <c r="W377" s="87"/>
    </row>
    <row r="378" spans="14:23" x14ac:dyDescent="0.25">
      <c r="O378" s="87"/>
      <c r="P378" s="88"/>
      <c r="W378" s="87"/>
    </row>
    <row r="379" spans="14:23" x14ac:dyDescent="0.25">
      <c r="O379" s="87"/>
      <c r="P379" s="88"/>
      <c r="W379" s="87"/>
    </row>
    <row r="380" spans="14:23" x14ac:dyDescent="0.25">
      <c r="N380" s="87"/>
      <c r="O380" s="88"/>
      <c r="V380" s="87"/>
    </row>
    <row r="381" spans="14:23" x14ac:dyDescent="0.25">
      <c r="O381" s="87"/>
      <c r="P381" s="88"/>
      <c r="W381" s="87"/>
    </row>
    <row r="382" spans="14:23" x14ac:dyDescent="0.25">
      <c r="O382" s="87"/>
      <c r="P382" s="88"/>
      <c r="W382" s="87"/>
    </row>
    <row r="383" spans="14:23" x14ac:dyDescent="0.25">
      <c r="O383" s="87"/>
      <c r="P383" s="88"/>
      <c r="W383" s="87"/>
    </row>
    <row r="384" spans="14:23" x14ac:dyDescent="0.25">
      <c r="O384" s="87"/>
      <c r="P384" s="88"/>
      <c r="W384" s="87"/>
    </row>
    <row r="385" spans="12:23" x14ac:dyDescent="0.25">
      <c r="O385" s="87"/>
      <c r="P385" s="88"/>
      <c r="W385" s="87"/>
    </row>
    <row r="386" spans="12:23" x14ac:dyDescent="0.25">
      <c r="O386" s="87"/>
      <c r="P386" s="88"/>
      <c r="W386" s="87"/>
    </row>
    <row r="387" spans="12:23" x14ac:dyDescent="0.25">
      <c r="O387" s="87"/>
      <c r="P387" s="88"/>
      <c r="W387" s="87"/>
    </row>
    <row r="388" spans="12:23" x14ac:dyDescent="0.25">
      <c r="O388" s="87"/>
      <c r="P388" s="88"/>
      <c r="W388" s="87"/>
    </row>
    <row r="389" spans="12:23" x14ac:dyDescent="0.25">
      <c r="O389" s="87"/>
      <c r="P389" s="88"/>
      <c r="W389" s="87"/>
    </row>
    <row r="390" spans="12:23" x14ac:dyDescent="0.25">
      <c r="O390" s="87"/>
      <c r="P390" s="88"/>
      <c r="W390" s="87"/>
    </row>
    <row r="391" spans="12:23" x14ac:dyDescent="0.25">
      <c r="O391" s="87"/>
      <c r="P391" s="88"/>
      <c r="W391" s="87"/>
    </row>
    <row r="392" spans="12:23" x14ac:dyDescent="0.25">
      <c r="O392" s="87"/>
      <c r="P392" s="88"/>
      <c r="W392" s="87"/>
    </row>
    <row r="393" spans="12:23" x14ac:dyDescent="0.25">
      <c r="N393" s="87"/>
      <c r="O393" s="88"/>
      <c r="V393" s="87"/>
    </row>
    <row r="394" spans="12:23" x14ac:dyDescent="0.25">
      <c r="N394" s="87"/>
      <c r="O394" s="88"/>
      <c r="V394" s="87"/>
    </row>
    <row r="395" spans="12:23" x14ac:dyDescent="0.25">
      <c r="M395" s="87"/>
      <c r="N395" s="88"/>
      <c r="U395" s="87"/>
    </row>
    <row r="396" spans="12:23" x14ac:dyDescent="0.25">
      <c r="O396" s="87"/>
      <c r="P396" s="88"/>
      <c r="W396" s="87"/>
    </row>
    <row r="397" spans="12:23" x14ac:dyDescent="0.25">
      <c r="N397" s="87"/>
      <c r="O397" s="88"/>
      <c r="V397" s="87"/>
    </row>
    <row r="398" spans="12:23" x14ac:dyDescent="0.25">
      <c r="N398" s="87"/>
      <c r="O398" s="88"/>
      <c r="V398" s="87"/>
    </row>
    <row r="399" spans="12:23" x14ac:dyDescent="0.25">
      <c r="L399" s="87"/>
      <c r="M399" s="88"/>
      <c r="T399" s="87"/>
    </row>
    <row r="400" spans="12:23" x14ac:dyDescent="0.25">
      <c r="M400" s="87"/>
      <c r="N400" s="88"/>
      <c r="U400" s="87"/>
    </row>
    <row r="401" spans="12:22" x14ac:dyDescent="0.25">
      <c r="N401" s="87"/>
      <c r="O401" s="88"/>
      <c r="V401" s="87"/>
    </row>
    <row r="402" spans="12:22" x14ac:dyDescent="0.25">
      <c r="N402" s="87"/>
      <c r="O402" s="88"/>
      <c r="V402" s="87"/>
    </row>
    <row r="403" spans="12:22" x14ac:dyDescent="0.25">
      <c r="L403" s="87"/>
      <c r="M403" s="88"/>
      <c r="T403" s="87"/>
    </row>
    <row r="404" spans="12:22" x14ac:dyDescent="0.25">
      <c r="M404" s="87"/>
      <c r="N404" s="88"/>
      <c r="U404" s="87"/>
    </row>
    <row r="405" spans="12:22" x14ac:dyDescent="0.25">
      <c r="M405" s="87"/>
      <c r="N405" s="88"/>
      <c r="U405" s="87"/>
    </row>
    <row r="406" spans="12:22" x14ac:dyDescent="0.25">
      <c r="M406" s="87"/>
      <c r="N406" s="88"/>
      <c r="U406" s="87"/>
    </row>
    <row r="407" spans="12:22" x14ac:dyDescent="0.25">
      <c r="N407" s="87"/>
      <c r="O407" s="88"/>
      <c r="V407" s="87"/>
    </row>
    <row r="408" spans="12:22" x14ac:dyDescent="0.25">
      <c r="M408" s="87"/>
      <c r="N408" s="88"/>
      <c r="U408" s="87"/>
    </row>
    <row r="409" spans="12:22" x14ac:dyDescent="0.25">
      <c r="M409" s="87"/>
      <c r="N409" s="88"/>
      <c r="U409" s="87"/>
    </row>
    <row r="410" spans="12:22" x14ac:dyDescent="0.25">
      <c r="N410" s="87"/>
      <c r="O410" s="88"/>
      <c r="V410" s="87"/>
    </row>
    <row r="411" spans="12:22" x14ac:dyDescent="0.25">
      <c r="N411" s="87"/>
      <c r="O411" s="88"/>
      <c r="V411" s="87"/>
    </row>
    <row r="412" spans="12:22" x14ac:dyDescent="0.25">
      <c r="M412" s="87"/>
      <c r="N412" s="88"/>
      <c r="U412" s="87"/>
    </row>
    <row r="413" spans="12:22" x14ac:dyDescent="0.25">
      <c r="N413" s="87"/>
      <c r="O413" s="88"/>
      <c r="V413" s="87"/>
    </row>
    <row r="414" spans="12:22" x14ac:dyDescent="0.25">
      <c r="M414" s="87"/>
      <c r="N414" s="88"/>
      <c r="U414" s="87"/>
    </row>
    <row r="415" spans="12:22" x14ac:dyDescent="0.25">
      <c r="M415" s="87"/>
      <c r="N415" s="88"/>
      <c r="U415" s="87"/>
    </row>
    <row r="416" spans="12:22" x14ac:dyDescent="0.25">
      <c r="M416" s="87"/>
      <c r="N416" s="88"/>
      <c r="U416" s="87"/>
    </row>
    <row r="417" spans="12:23" x14ac:dyDescent="0.25">
      <c r="L417" s="87"/>
      <c r="M417" s="88"/>
      <c r="T417" s="87"/>
    </row>
    <row r="418" spans="12:23" x14ac:dyDescent="0.25">
      <c r="M418" s="87"/>
      <c r="N418" s="88"/>
      <c r="U418" s="87"/>
    </row>
    <row r="419" spans="12:23" x14ac:dyDescent="0.25">
      <c r="M419" s="87"/>
      <c r="N419" s="88"/>
      <c r="U419" s="87"/>
    </row>
    <row r="420" spans="12:23" x14ac:dyDescent="0.25">
      <c r="N420" s="87"/>
      <c r="O420" s="88"/>
      <c r="V420" s="87"/>
    </row>
    <row r="421" spans="12:23" x14ac:dyDescent="0.25">
      <c r="N421" s="87"/>
      <c r="O421" s="88"/>
      <c r="V421" s="87"/>
    </row>
    <row r="422" spans="12:23" x14ac:dyDescent="0.25">
      <c r="N422" s="87"/>
      <c r="O422" s="88"/>
      <c r="V422" s="87"/>
    </row>
    <row r="423" spans="12:23" x14ac:dyDescent="0.25">
      <c r="M423" s="87"/>
      <c r="N423" s="88"/>
      <c r="U423" s="87"/>
    </row>
    <row r="424" spans="12:23" x14ac:dyDescent="0.25">
      <c r="M424" s="87"/>
      <c r="N424" s="88"/>
      <c r="U424" s="87"/>
    </row>
    <row r="425" spans="12:23" x14ac:dyDescent="0.25">
      <c r="M425" s="87"/>
      <c r="N425" s="88"/>
      <c r="U425" s="87"/>
    </row>
    <row r="426" spans="12:23" x14ac:dyDescent="0.25">
      <c r="O426" s="87"/>
      <c r="P426" s="88"/>
      <c r="W426" s="87"/>
    </row>
    <row r="427" spans="12:23" x14ac:dyDescent="0.25">
      <c r="M427" s="87"/>
      <c r="N427" s="88"/>
      <c r="U427" s="87"/>
    </row>
    <row r="428" spans="12:23" x14ac:dyDescent="0.25">
      <c r="N428" s="87"/>
      <c r="O428" s="88"/>
      <c r="V428" s="87"/>
    </row>
    <row r="429" spans="12:23" x14ac:dyDescent="0.25">
      <c r="N429" s="87"/>
      <c r="O429" s="88"/>
      <c r="V429" s="87"/>
    </row>
    <row r="430" spans="12:23" x14ac:dyDescent="0.25">
      <c r="M430" s="87"/>
      <c r="N430" s="88"/>
      <c r="U430" s="87"/>
    </row>
    <row r="431" spans="12:23" x14ac:dyDescent="0.25">
      <c r="M431" s="87"/>
      <c r="N431" s="88"/>
      <c r="U431" s="87"/>
    </row>
    <row r="432" spans="12:23" x14ac:dyDescent="0.25">
      <c r="N432" s="87"/>
      <c r="O432" s="88"/>
      <c r="V432" s="87"/>
    </row>
    <row r="433" spans="12:23" x14ac:dyDescent="0.25">
      <c r="L433" s="87"/>
      <c r="M433" s="88"/>
      <c r="T433" s="87"/>
    </row>
    <row r="434" spans="12:23" x14ac:dyDescent="0.25">
      <c r="L434" s="87"/>
      <c r="M434" s="88"/>
      <c r="T434" s="87"/>
    </row>
    <row r="435" spans="12:23" x14ac:dyDescent="0.25">
      <c r="N435" s="87"/>
      <c r="O435" s="88"/>
      <c r="V435" s="87"/>
    </row>
    <row r="436" spans="12:23" x14ac:dyDescent="0.25">
      <c r="M436" s="87"/>
      <c r="N436" s="88"/>
      <c r="U436" s="87"/>
    </row>
    <row r="437" spans="12:23" x14ac:dyDescent="0.25">
      <c r="L437" s="87"/>
      <c r="M437" s="88"/>
      <c r="T437" s="87"/>
    </row>
    <row r="438" spans="12:23" x14ac:dyDescent="0.25">
      <c r="N438" s="87"/>
      <c r="O438" s="88"/>
      <c r="V438" s="87"/>
    </row>
    <row r="439" spans="12:23" x14ac:dyDescent="0.25">
      <c r="M439" s="87"/>
      <c r="N439" s="88"/>
      <c r="U439" s="87"/>
    </row>
    <row r="440" spans="12:23" x14ac:dyDescent="0.25">
      <c r="M440" s="87"/>
      <c r="N440" s="88"/>
      <c r="U440" s="87"/>
    </row>
    <row r="441" spans="12:23" x14ac:dyDescent="0.25">
      <c r="M441" s="87"/>
      <c r="N441" s="88"/>
      <c r="U441" s="87"/>
    </row>
    <row r="442" spans="12:23" x14ac:dyDescent="0.25">
      <c r="M442" s="87"/>
      <c r="N442" s="88"/>
      <c r="O442" s="87"/>
      <c r="P442" s="88"/>
      <c r="V442" s="87"/>
      <c r="W442" s="87"/>
    </row>
    <row r="443" spans="12:23" x14ac:dyDescent="0.25">
      <c r="M443" s="87"/>
      <c r="N443" s="88"/>
      <c r="O443" s="87"/>
      <c r="P443" s="88"/>
      <c r="V443" s="87"/>
      <c r="W443" s="87"/>
    </row>
    <row r="444" spans="12:23" x14ac:dyDescent="0.25">
      <c r="M444" s="87"/>
      <c r="N444" s="88"/>
      <c r="O444" s="87"/>
      <c r="P444" s="88"/>
      <c r="V444" s="87"/>
      <c r="W444" s="87"/>
    </row>
    <row r="445" spans="12:23" x14ac:dyDescent="0.25">
      <c r="L445" s="87"/>
      <c r="M445" s="88"/>
      <c r="T445" s="87"/>
    </row>
    <row r="446" spans="12:23" x14ac:dyDescent="0.25">
      <c r="M446" s="87"/>
      <c r="N446" s="88"/>
      <c r="O446" s="87"/>
      <c r="P446" s="88"/>
      <c r="V446" s="87"/>
      <c r="W446" s="87"/>
    </row>
    <row r="447" spans="12:23" x14ac:dyDescent="0.25">
      <c r="M447" s="87"/>
      <c r="N447" s="88"/>
      <c r="O447" s="87"/>
      <c r="P447" s="88"/>
      <c r="V447" s="87"/>
      <c r="W447" s="87"/>
    </row>
    <row r="448" spans="12:23" x14ac:dyDescent="0.25">
      <c r="M448" s="87"/>
      <c r="N448" s="88"/>
      <c r="U448" s="87"/>
    </row>
    <row r="449" spans="13:23" x14ac:dyDescent="0.25">
      <c r="M449" s="87"/>
      <c r="N449" s="88"/>
      <c r="U449" s="87"/>
    </row>
    <row r="450" spans="13:23" x14ac:dyDescent="0.25">
      <c r="M450" s="87"/>
      <c r="N450" s="88"/>
      <c r="U450" s="87"/>
    </row>
    <row r="451" spans="13:23" x14ac:dyDescent="0.25">
      <c r="M451" s="87"/>
      <c r="N451" s="88"/>
      <c r="U451" s="87"/>
    </row>
    <row r="452" spans="13:23" x14ac:dyDescent="0.25">
      <c r="M452" s="87"/>
      <c r="N452" s="88"/>
      <c r="O452" s="87"/>
      <c r="P452" s="88"/>
      <c r="V452" s="87"/>
      <c r="W452" s="87"/>
    </row>
    <row r="453" spans="13:23" x14ac:dyDescent="0.25">
      <c r="M453" s="87"/>
      <c r="N453" s="88"/>
      <c r="U453" s="87"/>
    </row>
    <row r="454" spans="13:23" x14ac:dyDescent="0.25">
      <c r="N454" s="87"/>
      <c r="O454" s="88"/>
      <c r="V454" s="87"/>
    </row>
    <row r="455" spans="13:23" x14ac:dyDescent="0.25">
      <c r="N455" s="87"/>
      <c r="O455" s="88"/>
      <c r="V455" s="87"/>
    </row>
    <row r="456" spans="13:23" x14ac:dyDescent="0.25">
      <c r="N456" s="87"/>
      <c r="O456" s="88"/>
      <c r="V456" s="87"/>
    </row>
    <row r="457" spans="13:23" x14ac:dyDescent="0.25">
      <c r="N457" s="87"/>
      <c r="O457" s="88"/>
      <c r="V457" s="87"/>
    </row>
    <row r="458" spans="13:23" x14ac:dyDescent="0.25">
      <c r="N458" s="87"/>
      <c r="O458" s="88"/>
      <c r="V458" s="87"/>
    </row>
    <row r="459" spans="13:23" x14ac:dyDescent="0.25">
      <c r="N459" s="87"/>
      <c r="O459" s="88"/>
      <c r="V459" s="87"/>
    </row>
    <row r="460" spans="13:23" x14ac:dyDescent="0.25">
      <c r="N460" s="87"/>
      <c r="O460" s="88"/>
      <c r="V460" s="87"/>
    </row>
    <row r="461" spans="13:23" x14ac:dyDescent="0.25">
      <c r="N461" s="87"/>
      <c r="O461" s="88"/>
      <c r="V461" s="87"/>
    </row>
    <row r="462" spans="13:23" x14ac:dyDescent="0.25">
      <c r="N462" s="87"/>
      <c r="O462" s="88"/>
      <c r="V462" s="87"/>
    </row>
    <row r="463" spans="13:23" x14ac:dyDescent="0.25">
      <c r="N463" s="87"/>
      <c r="O463" s="88"/>
      <c r="V463" s="87"/>
    </row>
    <row r="464" spans="13:23" x14ac:dyDescent="0.25">
      <c r="N464" s="87"/>
      <c r="O464" s="88"/>
      <c r="V464" s="87"/>
    </row>
    <row r="465" spans="13:22" x14ac:dyDescent="0.25">
      <c r="N465" s="87"/>
      <c r="O465" s="88"/>
      <c r="V465" s="87"/>
    </row>
    <row r="466" spans="13:22" x14ac:dyDescent="0.25">
      <c r="N466" s="87"/>
      <c r="O466" s="88"/>
      <c r="V466" s="87"/>
    </row>
    <row r="467" spans="13:22" x14ac:dyDescent="0.25">
      <c r="M467" s="87"/>
      <c r="N467" s="88"/>
      <c r="U467" s="87"/>
    </row>
    <row r="468" spans="13:22" x14ac:dyDescent="0.25">
      <c r="N468" s="87"/>
      <c r="O468" s="88"/>
      <c r="V468" s="87"/>
    </row>
    <row r="469" spans="13:22" x14ac:dyDescent="0.25">
      <c r="N469" s="87"/>
      <c r="O469" s="88"/>
      <c r="V469" s="87"/>
    </row>
    <row r="470" spans="13:22" x14ac:dyDescent="0.25">
      <c r="N470" s="87"/>
      <c r="O470" s="88"/>
      <c r="V470" s="87"/>
    </row>
    <row r="471" spans="13:22" x14ac:dyDescent="0.25">
      <c r="N471" s="87"/>
      <c r="O471" s="88"/>
      <c r="V471" s="87"/>
    </row>
    <row r="472" spans="13:22" x14ac:dyDescent="0.25">
      <c r="M472" s="87"/>
      <c r="N472" s="88"/>
      <c r="U472" s="87"/>
    </row>
    <row r="473" spans="13:22" x14ac:dyDescent="0.25">
      <c r="N473" s="87"/>
      <c r="O473" s="88"/>
      <c r="V473" s="87"/>
    </row>
    <row r="474" spans="13:22" x14ac:dyDescent="0.25">
      <c r="N474" s="87"/>
      <c r="O474" s="88"/>
      <c r="V474" s="87"/>
    </row>
    <row r="475" spans="13:22" x14ac:dyDescent="0.25">
      <c r="N475" s="87"/>
      <c r="O475" s="88"/>
      <c r="V475" s="87"/>
    </row>
    <row r="476" spans="13:22" x14ac:dyDescent="0.25">
      <c r="N476" s="87"/>
      <c r="O476" s="88"/>
      <c r="V476" s="87"/>
    </row>
    <row r="477" spans="13:22" x14ac:dyDescent="0.25">
      <c r="N477" s="87"/>
      <c r="O477" s="88"/>
      <c r="V477" s="87"/>
    </row>
    <row r="478" spans="13:22" x14ac:dyDescent="0.25">
      <c r="N478" s="87"/>
      <c r="O478" s="88"/>
      <c r="V478" s="87"/>
    </row>
    <row r="479" spans="13:22" x14ac:dyDescent="0.25">
      <c r="N479" s="87"/>
      <c r="O479" s="88"/>
      <c r="V479" s="87"/>
    </row>
    <row r="480" spans="13:22" x14ac:dyDescent="0.25">
      <c r="N480" s="87"/>
      <c r="O480" s="88"/>
      <c r="V480" s="87"/>
    </row>
    <row r="481" spans="14:22" x14ac:dyDescent="0.25">
      <c r="N481" s="87"/>
      <c r="O481" s="88"/>
      <c r="V481" s="87"/>
    </row>
    <row r="482" spans="14:22" x14ac:dyDescent="0.25">
      <c r="N482" s="87"/>
      <c r="O482" s="88"/>
      <c r="V482" s="87"/>
    </row>
    <row r="483" spans="14:22" x14ac:dyDescent="0.25">
      <c r="N483" s="87"/>
      <c r="O483" s="88"/>
      <c r="V483" s="87"/>
    </row>
    <row r="484" spans="14:22" x14ac:dyDescent="0.25">
      <c r="N484" s="87"/>
      <c r="O484" s="88"/>
      <c r="V484" s="87"/>
    </row>
    <row r="485" spans="14:22" x14ac:dyDescent="0.25">
      <c r="N485" s="87"/>
      <c r="O485" s="88"/>
      <c r="V485" s="87"/>
    </row>
    <row r="486" spans="14:22" x14ac:dyDescent="0.25">
      <c r="N486" s="87"/>
      <c r="O486" s="88"/>
      <c r="V486" s="87"/>
    </row>
    <row r="487" spans="14:22" x14ac:dyDescent="0.25">
      <c r="N487" s="87"/>
      <c r="O487" s="88"/>
      <c r="V487" s="87"/>
    </row>
    <row r="488" spans="14:22" x14ac:dyDescent="0.25">
      <c r="N488" s="87"/>
      <c r="O488" s="88"/>
      <c r="V488" s="87"/>
    </row>
    <row r="489" spans="14:22" x14ac:dyDescent="0.25">
      <c r="N489" s="87"/>
      <c r="O489" s="88"/>
      <c r="V489" s="87"/>
    </row>
    <row r="490" spans="14:22" x14ac:dyDescent="0.25">
      <c r="N490" s="87"/>
      <c r="O490" s="88"/>
      <c r="V490" s="87"/>
    </row>
    <row r="491" spans="14:22" x14ac:dyDescent="0.25">
      <c r="N491" s="87"/>
      <c r="O491" s="88"/>
      <c r="V491" s="87"/>
    </row>
    <row r="492" spans="14:22" x14ac:dyDescent="0.25">
      <c r="N492" s="87"/>
      <c r="O492" s="88"/>
      <c r="V492" s="87"/>
    </row>
    <row r="493" spans="14:22" x14ac:dyDescent="0.25">
      <c r="N493" s="87"/>
      <c r="O493" s="88"/>
      <c r="V493" s="87"/>
    </row>
    <row r="494" spans="14:22" x14ac:dyDescent="0.25">
      <c r="N494" s="87"/>
      <c r="O494" s="88"/>
      <c r="V494" s="87"/>
    </row>
    <row r="495" spans="14:22" x14ac:dyDescent="0.25">
      <c r="N495" s="87"/>
      <c r="O495" s="88"/>
      <c r="V495" s="87"/>
    </row>
    <row r="496" spans="14:22" x14ac:dyDescent="0.25">
      <c r="N496" s="87"/>
      <c r="O496" s="88"/>
      <c r="V496" s="87"/>
    </row>
    <row r="497" spans="13:23" x14ac:dyDescent="0.25">
      <c r="N497" s="87"/>
      <c r="O497" s="88"/>
      <c r="V497" s="87"/>
    </row>
    <row r="498" spans="13:23" x14ac:dyDescent="0.25">
      <c r="N498" s="87"/>
      <c r="O498" s="88"/>
      <c r="V498" s="87"/>
    </row>
    <row r="499" spans="13:23" x14ac:dyDescent="0.25">
      <c r="N499" s="87"/>
      <c r="O499" s="88"/>
      <c r="V499" s="87"/>
    </row>
    <row r="500" spans="13:23" x14ac:dyDescent="0.25">
      <c r="N500" s="87"/>
      <c r="O500" s="88"/>
      <c r="V500" s="87"/>
    </row>
    <row r="501" spans="13:23" x14ac:dyDescent="0.25">
      <c r="N501" s="87"/>
      <c r="O501" s="88"/>
      <c r="V501" s="87"/>
    </row>
    <row r="502" spans="13:23" x14ac:dyDescent="0.25">
      <c r="O502" s="87"/>
      <c r="P502" s="88"/>
      <c r="W502" s="87"/>
    </row>
    <row r="503" spans="13:23" x14ac:dyDescent="0.25">
      <c r="N503" s="87"/>
      <c r="O503" s="88"/>
      <c r="V503" s="87"/>
    </row>
    <row r="504" spans="13:23" x14ac:dyDescent="0.25">
      <c r="N504" s="87"/>
      <c r="O504" s="88"/>
      <c r="V504" s="87"/>
    </row>
    <row r="505" spans="13:23" x14ac:dyDescent="0.25">
      <c r="M505" s="87"/>
      <c r="N505" s="88"/>
      <c r="U505" s="87"/>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73FA6D-0939-44DD-85FD-3E2E81207B8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Definitions</vt:lpstr>
      <vt:lpstr>BusMatrix</vt:lpstr>
      <vt:lpstr>ObjectDefinition</vt:lpstr>
      <vt:lpstr>TimeEstimation</vt:lpstr>
      <vt:lpstr>Notes</vt:lpstr>
      <vt:lpstr>BooleanList</vt:lpstr>
      <vt:lpstr>DimTypesList</vt:lpstr>
      <vt:lpstr>FactTypesList</vt:lpstr>
      <vt:lpstr>ObjectTypeList</vt:lpstr>
      <vt:lpstr>SchemaList</vt:lpstr>
      <vt:lpstr>StoryPointList</vt:lpstr>
    </vt:vector>
  </TitlesOfParts>
  <Company>Saipa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Golchoobian, Siavash (Information Technology)</dc:creator>
  <cp:lastModifiedBy>Mahdi</cp:lastModifiedBy>
  <cp:lastPrinted>2015-05-26T04:55:23Z</cp:lastPrinted>
  <dcterms:created xsi:type="dcterms:W3CDTF">2015-05-18T10:09:00Z</dcterms:created>
  <dcterms:modified xsi:type="dcterms:W3CDTF">2026-09-19T04:58:56Z</dcterms:modified>
</cp:coreProperties>
</file>